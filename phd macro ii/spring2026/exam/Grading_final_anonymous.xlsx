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riob421\Documents\GitHub\teaching_private\phd macro ii\spring2026\exam\"/>
    </mc:Choice>
  </mc:AlternateContent>
  <xr:revisionPtr revIDLastSave="0" documentId="13_ncr:1_{FC4F5D42-803F-4A16-8A25-635802E3D1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_total" sheetId="4" r:id="rId1"/>
    <sheet name="EXAM poin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4" l="1"/>
  <c r="L8" i="4"/>
  <c r="N11" i="4"/>
  <c r="N12" i="4"/>
  <c r="N13" i="4"/>
  <c r="N14" i="4"/>
  <c r="N15" i="4"/>
  <c r="N16" i="4"/>
  <c r="N17" i="4"/>
  <c r="M11" i="4"/>
  <c r="M12" i="4"/>
  <c r="M13" i="4"/>
  <c r="M14" i="4"/>
  <c r="M15" i="4"/>
  <c r="M16" i="4"/>
  <c r="M17" i="4"/>
  <c r="M10" i="4"/>
  <c r="L11" i="4"/>
  <c r="L12" i="4"/>
  <c r="L13" i="4"/>
  <c r="L14" i="4"/>
  <c r="L15" i="4"/>
  <c r="L16" i="4"/>
  <c r="L17" i="4"/>
  <c r="L10" i="4"/>
  <c r="N10" i="4"/>
  <c r="K16" i="4"/>
  <c r="K15" i="4"/>
  <c r="K14" i="4"/>
  <c r="K13" i="4"/>
  <c r="K11" i="4"/>
  <c r="K10" i="4"/>
  <c r="K17" i="4" s="1"/>
  <c r="J16" i="4"/>
  <c r="J15" i="4"/>
  <c r="J14" i="4"/>
  <c r="J13" i="4"/>
  <c r="J12" i="4"/>
  <c r="J11" i="4"/>
  <c r="J10" i="4"/>
  <c r="I16" i="4"/>
  <c r="I15" i="4"/>
  <c r="I14" i="4"/>
  <c r="I13" i="4"/>
  <c r="I12" i="4"/>
  <c r="I11" i="4"/>
  <c r="I10" i="4"/>
  <c r="H16" i="4"/>
  <c r="H15" i="4"/>
  <c r="H14" i="4"/>
  <c r="H13" i="4"/>
  <c r="H12" i="4"/>
  <c r="H11" i="4"/>
  <c r="H10" i="4"/>
  <c r="G16" i="4"/>
  <c r="G15" i="4"/>
  <c r="G14" i="4"/>
  <c r="G13" i="4"/>
  <c r="G12" i="4"/>
  <c r="G11" i="4"/>
  <c r="G10" i="4"/>
  <c r="F16" i="4"/>
  <c r="F15" i="4"/>
  <c r="F13" i="4"/>
  <c r="F12" i="4"/>
  <c r="F11" i="4"/>
  <c r="F10" i="4"/>
  <c r="F17" i="4" s="1"/>
  <c r="C16" i="4"/>
  <c r="C15" i="4"/>
  <c r="C14" i="4"/>
  <c r="C13" i="4"/>
  <c r="C12" i="4"/>
  <c r="C11" i="4"/>
  <c r="C10" i="4"/>
  <c r="D17" i="4"/>
  <c r="E17" i="4"/>
  <c r="B17" i="4"/>
  <c r="F15" i="5"/>
  <c r="G15" i="5" s="1"/>
  <c r="E18" i="5"/>
  <c r="E19" i="5" s="1"/>
  <c r="D18" i="5"/>
  <c r="D19" i="5" s="1"/>
  <c r="C18" i="5"/>
  <c r="C19" i="5" s="1"/>
  <c r="B18" i="5"/>
  <c r="B19" i="5" s="1"/>
  <c r="F16" i="5"/>
  <c r="G16" i="5" s="1"/>
  <c r="F14" i="5"/>
  <c r="H14" i="5" s="1"/>
  <c r="F13" i="5"/>
  <c r="H13" i="5" s="1"/>
  <c r="F12" i="5"/>
  <c r="G12" i="5" s="1"/>
  <c r="F11" i="5"/>
  <c r="H11" i="5" s="1"/>
  <c r="F10" i="5"/>
  <c r="H10" i="5" s="1"/>
  <c r="F8" i="5"/>
  <c r="G8" i="5" s="1"/>
  <c r="S10" i="4"/>
  <c r="T10" i="4" s="1"/>
  <c r="S11" i="4"/>
  <c r="U11" i="4" s="1"/>
  <c r="S12" i="4"/>
  <c r="U12" i="4" s="1"/>
  <c r="S13" i="4"/>
  <c r="U13" i="4" s="1"/>
  <c r="S14" i="4"/>
  <c r="U14" i="4" s="1"/>
  <c r="S15" i="4"/>
  <c r="U15" i="4" s="1"/>
  <c r="R17" i="4"/>
  <c r="S8" i="4"/>
  <c r="T8" i="4" s="1"/>
  <c r="O17" i="4"/>
  <c r="P17" i="4"/>
  <c r="Q17" i="4"/>
  <c r="G17" i="4" l="1"/>
  <c r="H17" i="4"/>
  <c r="J17" i="4"/>
  <c r="C17" i="4"/>
  <c r="I17" i="4"/>
  <c r="H15" i="5"/>
  <c r="V12" i="4"/>
  <c r="T11" i="4"/>
  <c r="T13" i="4"/>
  <c r="T15" i="4"/>
  <c r="T14" i="4"/>
  <c r="V10" i="4"/>
  <c r="V13" i="4"/>
  <c r="T12" i="4"/>
  <c r="H12" i="5"/>
  <c r="H16" i="5"/>
  <c r="G11" i="5"/>
  <c r="G14" i="5"/>
  <c r="G10" i="5"/>
  <c r="G13" i="5"/>
  <c r="F18" i="5"/>
  <c r="H18" i="5" s="1"/>
  <c r="V8" i="4"/>
  <c r="V15" i="4"/>
  <c r="U10" i="4"/>
  <c r="S17" i="4"/>
  <c r="U17" i="4" s="1"/>
  <c r="V14" i="4" l="1"/>
  <c r="V11" i="4"/>
  <c r="T17" i="4"/>
  <c r="G18" i="5"/>
  <c r="V17" i="4" l="1"/>
</calcChain>
</file>

<file path=xl/sharedStrings.xml><?xml version="1.0" encoding="utf-8"?>
<sst xmlns="http://schemas.openxmlformats.org/spreadsheetml/2006/main" count="48" uniqueCount="34">
  <si>
    <t>Exam in</t>
  </si>
  <si>
    <t>Grades</t>
  </si>
  <si>
    <t>Teacher:</t>
  </si>
  <si>
    <t>xx=&lt;</t>
  </si>
  <si>
    <t>VG</t>
  </si>
  <si>
    <t>Total score</t>
  </si>
  <si>
    <t>Grade/ECTS</t>
  </si>
  <si>
    <t>G</t>
  </si>
  <si>
    <t>U</t>
  </si>
  <si>
    <t>x</t>
  </si>
  <si>
    <t>max points</t>
  </si>
  <si>
    <t xml:space="preserve">AVERAGE </t>
  </si>
  <si>
    <t>PROBLEM SETS</t>
  </si>
  <si>
    <t>EXAM</t>
  </si>
  <si>
    <t>Student</t>
  </si>
  <si>
    <t>Total exam</t>
  </si>
  <si>
    <t>% Total exam</t>
  </si>
  <si>
    <t>Grade exam</t>
  </si>
  <si>
    <t xml:space="preserve">Teodora Borota Milicevic, Erik Öberg </t>
  </si>
  <si>
    <t>PhD Macroeconomics II</t>
  </si>
  <si>
    <t>GRADE</t>
  </si>
  <si>
    <t>(ps #2 not graded)</t>
  </si>
  <si>
    <t>AVG %</t>
  </si>
  <si>
    <t>Namn</t>
  </si>
  <si>
    <t>Leon Klöpper</t>
  </si>
  <si>
    <t>Alessandro Neri</t>
  </si>
  <si>
    <t>Wojciech Szymczak</t>
  </si>
  <si>
    <t>Suoman Wu</t>
  </si>
  <si>
    <t>Subrina Eusa</t>
  </si>
  <si>
    <t>Camilla Puleo</t>
  </si>
  <si>
    <t>Julia Qiu</t>
  </si>
  <si>
    <t>Total PS Dora</t>
  </si>
  <si>
    <t>Total PS Erik</t>
  </si>
  <si>
    <t>Weighted total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</si>
</sst>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73239"/>
      <name val="Segoe U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2" fontId="0" fillId="2" borderId="0" xfId="0" applyNumberFormat="1" applyFill="1"/>
    <xf numFmtId="2" fontId="0" fillId="0" borderId="0" xfId="0" applyNumberFormat="1"/>
    <xf numFmtId="0" fontId="2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"/>
  <sheetViews>
    <sheetView tabSelected="1" zoomScale="103" workbookViewId="0">
      <selection activeCell="J19" sqref="J19"/>
    </sheetView>
  </sheetViews>
  <sheetFormatPr defaultRowHeight="15" x14ac:dyDescent="0.25"/>
  <cols>
    <col min="1" max="1" width="18.28515625" customWidth="1"/>
    <col min="2" max="2" width="10.85546875" bestFit="1" customWidth="1"/>
    <col min="12" max="12" width="17.85546875" customWidth="1"/>
    <col min="13" max="13" width="18" customWidth="1"/>
    <col min="14" max="14" width="16" customWidth="1"/>
    <col min="19" max="19" width="13.140625" customWidth="1"/>
    <col min="20" max="21" width="13.28515625" customWidth="1"/>
    <col min="22" max="22" width="11.5703125" customWidth="1"/>
    <col min="23" max="23" width="12.85546875" customWidth="1"/>
    <col min="24" max="24" width="9.140625" customWidth="1"/>
  </cols>
  <sheetData>
    <row r="1" spans="1:32" x14ac:dyDescent="0.25">
      <c r="A1" s="1" t="s">
        <v>0</v>
      </c>
      <c r="B1" s="1" t="s">
        <v>19</v>
      </c>
      <c r="Y1" s="1"/>
      <c r="Z1" s="1"/>
      <c r="AD1" s="1" t="s">
        <v>1</v>
      </c>
    </row>
    <row r="2" spans="1:32" x14ac:dyDescent="0.25">
      <c r="A2" s="1" t="s">
        <v>2</v>
      </c>
      <c r="B2" s="1" t="s">
        <v>18</v>
      </c>
    </row>
    <row r="3" spans="1:32" x14ac:dyDescent="0.25">
      <c r="A3" s="1"/>
      <c r="B3" s="6"/>
      <c r="Z3" s="1"/>
      <c r="AB3">
        <v>90</v>
      </c>
      <c r="AD3" s="1" t="s">
        <v>4</v>
      </c>
      <c r="AE3" t="s">
        <v>3</v>
      </c>
      <c r="AF3">
        <v>75</v>
      </c>
    </row>
    <row r="4" spans="1:32" x14ac:dyDescent="0.25">
      <c r="A4" s="1"/>
      <c r="B4" s="6"/>
    </row>
    <row r="5" spans="1:32" x14ac:dyDescent="0.25">
      <c r="A5" s="1"/>
      <c r="B5" s="6" t="s">
        <v>12</v>
      </c>
      <c r="K5" s="11"/>
      <c r="L5" s="26"/>
      <c r="M5" s="26"/>
      <c r="O5" s="1" t="s">
        <v>13</v>
      </c>
      <c r="U5" s="11"/>
      <c r="Z5" s="1"/>
      <c r="AB5">
        <v>75</v>
      </c>
      <c r="AD5" s="1" t="s">
        <v>7</v>
      </c>
      <c r="AE5" t="s">
        <v>3</v>
      </c>
      <c r="AF5">
        <v>50</v>
      </c>
    </row>
    <row r="6" spans="1:32" x14ac:dyDescent="0.25">
      <c r="B6" s="24" t="s">
        <v>21</v>
      </c>
      <c r="C6" s="24"/>
      <c r="D6" s="24"/>
      <c r="E6" s="7"/>
      <c r="F6" s="7"/>
      <c r="G6" s="7"/>
      <c r="H6" s="7"/>
      <c r="I6" s="7"/>
      <c r="J6" s="23"/>
      <c r="K6" s="12"/>
      <c r="L6" s="27"/>
      <c r="M6" s="27"/>
      <c r="N6" s="7"/>
      <c r="O6" s="7"/>
      <c r="P6" s="7"/>
      <c r="Q6" s="7"/>
      <c r="R6" s="7"/>
      <c r="S6" s="7"/>
      <c r="T6" s="7"/>
      <c r="U6" s="12"/>
      <c r="Z6" s="1"/>
      <c r="AD6" s="1"/>
    </row>
    <row r="7" spans="1:32" x14ac:dyDescent="0.25">
      <c r="A7" s="2"/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  <c r="K7" s="13">
        <v>10</v>
      </c>
      <c r="L7" s="8" t="s">
        <v>31</v>
      </c>
      <c r="M7" s="8" t="s">
        <v>32</v>
      </c>
      <c r="N7" s="1" t="s">
        <v>33</v>
      </c>
      <c r="O7" s="8">
        <v>1</v>
      </c>
      <c r="P7" s="8">
        <v>2</v>
      </c>
      <c r="Q7" s="8">
        <v>3</v>
      </c>
      <c r="R7" s="8">
        <v>4</v>
      </c>
      <c r="S7" s="8" t="s">
        <v>15</v>
      </c>
      <c r="T7" s="8" t="s">
        <v>16</v>
      </c>
      <c r="U7" s="13" t="s">
        <v>17</v>
      </c>
      <c r="V7" s="2" t="s">
        <v>5</v>
      </c>
      <c r="W7" s="2" t="s">
        <v>6</v>
      </c>
      <c r="X7" s="2" t="s">
        <v>20</v>
      </c>
    </row>
    <row r="8" spans="1:32" s="3" customFormat="1" x14ac:dyDescent="0.25">
      <c r="A8" s="1" t="s">
        <v>10</v>
      </c>
      <c r="B8" s="9"/>
      <c r="C8" s="9"/>
      <c r="D8" s="9"/>
      <c r="E8" s="9"/>
      <c r="F8" s="9"/>
      <c r="G8" s="9"/>
      <c r="H8" s="9"/>
      <c r="I8" s="9"/>
      <c r="J8" s="9"/>
      <c r="K8" s="19"/>
      <c r="L8" s="9">
        <f>0.25*30</f>
        <v>7.5</v>
      </c>
      <c r="M8" s="28">
        <f>0.75*30</f>
        <v>22.5</v>
      </c>
      <c r="N8" s="3">
        <v>30</v>
      </c>
      <c r="O8" s="9">
        <v>20</v>
      </c>
      <c r="P8" s="9">
        <v>20</v>
      </c>
      <c r="Q8" s="9">
        <v>15</v>
      </c>
      <c r="R8" s="9">
        <v>15</v>
      </c>
      <c r="S8" s="9">
        <f>SUM(O8:R8)</f>
        <v>70</v>
      </c>
      <c r="T8" s="9">
        <f>S8/70*100</f>
        <v>100</v>
      </c>
      <c r="U8" s="14"/>
      <c r="V8" s="1">
        <f>SUM(L8,S8)</f>
        <v>77.5</v>
      </c>
      <c r="W8" s="1"/>
      <c r="X8" s="1"/>
      <c r="Y8"/>
      <c r="Z8" s="1"/>
      <c r="AA8"/>
      <c r="AB8">
        <v>65</v>
      </c>
      <c r="AC8"/>
      <c r="AD8" s="4" t="s">
        <v>8</v>
      </c>
      <c r="AE8" s="3" t="s">
        <v>3</v>
      </c>
      <c r="AF8" s="3" t="s">
        <v>9</v>
      </c>
    </row>
    <row r="9" spans="1:32" x14ac:dyDescent="0.25">
      <c r="A9" s="1" t="s">
        <v>14</v>
      </c>
      <c r="B9" s="9"/>
      <c r="C9" s="9"/>
      <c r="D9" s="9"/>
      <c r="E9" s="9"/>
      <c r="F9" s="9"/>
      <c r="G9" s="9"/>
      <c r="H9" s="9"/>
      <c r="I9" s="9"/>
      <c r="J9" s="9"/>
      <c r="K9" s="14"/>
      <c r="L9" s="9"/>
      <c r="M9" s="28"/>
      <c r="O9" s="9"/>
      <c r="P9" s="9"/>
      <c r="Q9" s="9"/>
      <c r="R9" s="9"/>
      <c r="S9" s="9"/>
      <c r="T9" s="9"/>
      <c r="U9" s="14"/>
      <c r="V9" s="1"/>
      <c r="W9" s="1"/>
      <c r="X9" s="1"/>
    </row>
    <row r="10" spans="1:32" s="3" customFormat="1" ht="16.5" x14ac:dyDescent="0.3">
      <c r="A10" t="s">
        <v>28</v>
      </c>
      <c r="B10" s="10">
        <v>100</v>
      </c>
      <c r="C10" s="10">
        <f>1.85/2*100</f>
        <v>92.5</v>
      </c>
      <c r="D10" s="10">
        <v>77.5</v>
      </c>
      <c r="E10" s="10">
        <v>98.5</v>
      </c>
      <c r="F10" s="10">
        <f>3.28/0.04</f>
        <v>82</v>
      </c>
      <c r="G10" s="10">
        <f>3.72/0.04</f>
        <v>93</v>
      </c>
      <c r="H10" s="10">
        <f>3.75/0.04</f>
        <v>93.75</v>
      </c>
      <c r="I10" s="10">
        <f>3.93/0.04</f>
        <v>98.25</v>
      </c>
      <c r="J10" s="10">
        <f>3.6/0.04</f>
        <v>90</v>
      </c>
      <c r="K10" s="15">
        <f>3.9/0.04</f>
        <v>97.5</v>
      </c>
      <c r="L10" s="10">
        <f>SUM(B10:E10)/4</f>
        <v>92.125</v>
      </c>
      <c r="M10" s="10">
        <f>SUM(F10:K10)/6</f>
        <v>92.416666666666671</v>
      </c>
      <c r="N10" s="3">
        <f>(L10/100*0.25+M10/100*0.75)*30</f>
        <v>27.703125</v>
      </c>
      <c r="O10" s="10"/>
      <c r="P10" s="10"/>
      <c r="Q10" s="10"/>
      <c r="R10" s="10"/>
      <c r="S10" s="9">
        <f>SUM(O10:R10)</f>
        <v>0</v>
      </c>
      <c r="T10" s="9">
        <f t="shared" ref="T10:T15" si="0">S10/70*100</f>
        <v>0</v>
      </c>
      <c r="U10" s="18" t="str">
        <f>IF(S10&gt;59.9,"VG",IF(S10&gt;29.9,"G","U"))</f>
        <v>U</v>
      </c>
      <c r="V10" s="17">
        <f>SUM(L10,S10)</f>
        <v>92.125</v>
      </c>
      <c r="W10" s="5"/>
      <c r="X10" s="5"/>
      <c r="Y10"/>
      <c r="Z10" s="1"/>
      <c r="AA10"/>
      <c r="AB10">
        <v>55</v>
      </c>
      <c r="AC10"/>
    </row>
    <row r="11" spans="1:32" ht="16.5" x14ac:dyDescent="0.3">
      <c r="A11" s="1" t="s">
        <v>24</v>
      </c>
      <c r="B11" s="10">
        <v>75</v>
      </c>
      <c r="C11" s="10">
        <f>1.7/2*100</f>
        <v>85</v>
      </c>
      <c r="D11" s="10">
        <v>65</v>
      </c>
      <c r="E11" s="10">
        <v>96</v>
      </c>
      <c r="F11" s="10">
        <f>3.43/0.04</f>
        <v>85.75</v>
      </c>
      <c r="G11" s="10">
        <f>3.89/0.04</f>
        <v>97.25</v>
      </c>
      <c r="H11" s="10">
        <f>3.85/0.04</f>
        <v>96.25</v>
      </c>
      <c r="I11" s="10">
        <f>3.56/0.04</f>
        <v>89</v>
      </c>
      <c r="J11" s="10">
        <f>3.6/0.04</f>
        <v>90</v>
      </c>
      <c r="K11" s="15">
        <f>3.7/0.04</f>
        <v>92.5</v>
      </c>
      <c r="L11" s="10">
        <f t="shared" ref="L11:L17" si="1">SUM(B11:E11)/4</f>
        <v>80.25</v>
      </c>
      <c r="M11" s="10">
        <f t="shared" ref="M11:M17" si="2">SUM(F11:K11)/6</f>
        <v>91.791666666666671</v>
      </c>
      <c r="N11" s="3">
        <f t="shared" ref="N11:N17" si="3">(L11/100*0.25+M11/100*0.75)*30</f>
        <v>26.671875000000004</v>
      </c>
      <c r="O11" s="10"/>
      <c r="P11" s="10"/>
      <c r="Q11" s="10"/>
      <c r="R11" s="10"/>
      <c r="S11" s="9">
        <f t="shared" ref="S11:S15" si="4">SUM(O11:R11)</f>
        <v>0</v>
      </c>
      <c r="T11" s="9">
        <f t="shared" si="0"/>
        <v>0</v>
      </c>
      <c r="U11" s="18" t="str">
        <f t="shared" ref="U11:U17" si="5">IF(S11&gt;59.9,"VG",IF(S11&gt;29.9,"G","U"))</f>
        <v>U</v>
      </c>
      <c r="V11" s="17">
        <f>SUM(L11,S11)</f>
        <v>80.25</v>
      </c>
      <c r="W11" s="5"/>
      <c r="X11" s="5"/>
    </row>
    <row r="12" spans="1:32" s="3" customFormat="1" ht="16.5" x14ac:dyDescent="0.3">
      <c r="A12" s="1" t="s">
        <v>25</v>
      </c>
      <c r="B12" s="10">
        <v>100</v>
      </c>
      <c r="C12" s="10">
        <f>1.75/2*100</f>
        <v>87.5</v>
      </c>
      <c r="D12" s="10">
        <v>70</v>
      </c>
      <c r="E12" s="10">
        <v>80.5</v>
      </c>
      <c r="F12" s="10">
        <f>3.7/0.04</f>
        <v>92.5</v>
      </c>
      <c r="G12" s="10">
        <f>3.85/0.04</f>
        <v>96.25</v>
      </c>
      <c r="H12" s="10">
        <f>3.7/0.04</f>
        <v>92.5</v>
      </c>
      <c r="I12" s="10">
        <f>3.91/0.04</f>
        <v>97.75</v>
      </c>
      <c r="J12" s="10">
        <f>3.8/0.04</f>
        <v>95</v>
      </c>
      <c r="K12" s="15">
        <v>100</v>
      </c>
      <c r="L12" s="10">
        <f t="shared" si="1"/>
        <v>84.5</v>
      </c>
      <c r="M12" s="10">
        <f t="shared" si="2"/>
        <v>95.666666666666671</v>
      </c>
      <c r="N12" s="3">
        <f t="shared" si="3"/>
        <v>27.862499999999997</v>
      </c>
      <c r="O12" s="10"/>
      <c r="P12" s="10"/>
      <c r="Q12" s="10"/>
      <c r="R12" s="10"/>
      <c r="S12" s="9">
        <f t="shared" si="4"/>
        <v>0</v>
      </c>
      <c r="T12" s="9">
        <f t="shared" si="0"/>
        <v>0</v>
      </c>
      <c r="U12" s="18" t="str">
        <f t="shared" si="5"/>
        <v>U</v>
      </c>
      <c r="V12" s="17">
        <f>SUM(L12,S12)</f>
        <v>84.5</v>
      </c>
      <c r="W12" s="5"/>
      <c r="X12" s="5"/>
      <c r="Y12"/>
      <c r="Z12" s="1"/>
      <c r="AA12"/>
      <c r="AB12">
        <v>50</v>
      </c>
      <c r="AC12"/>
    </row>
    <row r="13" spans="1:32" ht="16.5" x14ac:dyDescent="0.3">
      <c r="A13" s="1" t="s">
        <v>29</v>
      </c>
      <c r="B13" s="10">
        <v>95</v>
      </c>
      <c r="C13" s="10">
        <f>1.75/2*100</f>
        <v>87.5</v>
      </c>
      <c r="D13" s="10">
        <v>72.5</v>
      </c>
      <c r="E13" s="10">
        <v>96</v>
      </c>
      <c r="F13" s="10">
        <f>3.88/0.04</f>
        <v>97</v>
      </c>
      <c r="G13" s="10">
        <f>3.9/0.04</f>
        <v>97.5</v>
      </c>
      <c r="H13" s="10">
        <f>3.78/0.04</f>
        <v>94.5</v>
      </c>
      <c r="I13" s="10">
        <f>3.52/0.04</f>
        <v>88</v>
      </c>
      <c r="J13" s="10">
        <f>3.65/0.04</f>
        <v>91.25</v>
      </c>
      <c r="K13" s="15">
        <f>3.85/0.04</f>
        <v>96.25</v>
      </c>
      <c r="L13" s="10">
        <f t="shared" si="1"/>
        <v>87.75</v>
      </c>
      <c r="M13" s="10">
        <f t="shared" si="2"/>
        <v>94.083333333333329</v>
      </c>
      <c r="N13" s="3">
        <f t="shared" si="3"/>
        <v>27.749999999999996</v>
      </c>
      <c r="O13" s="10"/>
      <c r="P13" s="10"/>
      <c r="Q13" s="10"/>
      <c r="R13" s="10"/>
      <c r="S13" s="9">
        <f t="shared" si="4"/>
        <v>0</v>
      </c>
      <c r="T13" s="9">
        <f t="shared" si="0"/>
        <v>0</v>
      </c>
      <c r="U13" s="18" t="str">
        <f t="shared" si="5"/>
        <v>U</v>
      </c>
      <c r="V13" s="17">
        <f>SUM(L13,S13)</f>
        <v>87.75</v>
      </c>
      <c r="W13" s="5"/>
      <c r="X13" s="5"/>
    </row>
    <row r="14" spans="1:32" s="3" customFormat="1" ht="16.5" x14ac:dyDescent="0.3">
      <c r="A14" s="1" t="s">
        <v>30</v>
      </c>
      <c r="B14" s="10">
        <v>92.5</v>
      </c>
      <c r="C14" s="10">
        <f>1.85/2*100</f>
        <v>92.5</v>
      </c>
      <c r="D14" s="10">
        <v>85</v>
      </c>
      <c r="E14" s="10">
        <v>88.5</v>
      </c>
      <c r="F14" s="10">
        <v>100</v>
      </c>
      <c r="G14" s="10">
        <f>3.83/0.04</f>
        <v>95.75</v>
      </c>
      <c r="H14" s="10">
        <f>3.88/0.04</f>
        <v>97</v>
      </c>
      <c r="I14" s="10">
        <f>3.86/0.04</f>
        <v>96.5</v>
      </c>
      <c r="J14" s="10">
        <f>3.25/0.04</f>
        <v>81.25</v>
      </c>
      <c r="K14" s="15">
        <f>3.85/0.04</f>
        <v>96.25</v>
      </c>
      <c r="L14" s="10">
        <f t="shared" si="1"/>
        <v>89.625</v>
      </c>
      <c r="M14" s="10">
        <f t="shared" si="2"/>
        <v>94.458333333333329</v>
      </c>
      <c r="N14" s="3">
        <f t="shared" si="3"/>
        <v>27.975000000000001</v>
      </c>
      <c r="O14" s="10"/>
      <c r="P14" s="10"/>
      <c r="Q14" s="10"/>
      <c r="R14" s="10"/>
      <c r="S14" s="9">
        <f t="shared" si="4"/>
        <v>0</v>
      </c>
      <c r="T14" s="9">
        <f t="shared" si="0"/>
        <v>0</v>
      </c>
      <c r="U14" s="18" t="str">
        <f t="shared" si="5"/>
        <v>U</v>
      </c>
      <c r="V14" s="17">
        <f>SUM(L14,S14)</f>
        <v>89.625</v>
      </c>
      <c r="W14" s="5"/>
      <c r="X14" s="5"/>
      <c r="Y14"/>
      <c r="Z14" s="1"/>
      <c r="AA14"/>
      <c r="AB14" t="s">
        <v>9</v>
      </c>
      <c r="AC14"/>
    </row>
    <row r="15" spans="1:32" s="3" customFormat="1" ht="16.5" x14ac:dyDescent="0.3">
      <c r="A15" s="1" t="s">
        <v>26</v>
      </c>
      <c r="B15" s="10">
        <v>82.5</v>
      </c>
      <c r="C15" s="10">
        <f>1.94/2*100</f>
        <v>97</v>
      </c>
      <c r="D15" s="10">
        <v>85</v>
      </c>
      <c r="E15" s="10">
        <v>94</v>
      </c>
      <c r="F15" s="10">
        <f>3.15/0.04</f>
        <v>78.75</v>
      </c>
      <c r="G15" s="10">
        <f>3.85/0.04</f>
        <v>96.25</v>
      </c>
      <c r="H15" s="10">
        <f>3.65/0.04</f>
        <v>91.25</v>
      </c>
      <c r="I15" s="10">
        <f>3.82/0.04</f>
        <v>95.5</v>
      </c>
      <c r="J15" s="10">
        <f>3.45/0.04</f>
        <v>86.25</v>
      </c>
      <c r="K15" s="15">
        <f>3.85/0.04</f>
        <v>96.25</v>
      </c>
      <c r="L15" s="10">
        <f t="shared" si="1"/>
        <v>89.625</v>
      </c>
      <c r="M15" s="10">
        <f t="shared" si="2"/>
        <v>90.708333333333329</v>
      </c>
      <c r="N15" s="3">
        <f t="shared" si="3"/>
        <v>27.131249999999998</v>
      </c>
      <c r="O15" s="10"/>
      <c r="P15" s="10"/>
      <c r="Q15" s="10"/>
      <c r="R15" s="10"/>
      <c r="S15" s="9">
        <f t="shared" si="4"/>
        <v>0</v>
      </c>
      <c r="T15" s="9">
        <f t="shared" si="0"/>
        <v>0</v>
      </c>
      <c r="U15" s="18" t="str">
        <f t="shared" si="5"/>
        <v>U</v>
      </c>
      <c r="V15" s="17">
        <f>SUM(L15,S15)</f>
        <v>89.625</v>
      </c>
      <c r="W15" s="5"/>
      <c r="X15" s="5"/>
      <c r="Y15"/>
      <c r="Z15"/>
      <c r="AA15"/>
      <c r="AB15"/>
      <c r="AC15"/>
      <c r="AD15"/>
      <c r="AE15"/>
      <c r="AF15"/>
    </row>
    <row r="16" spans="1:32" s="3" customFormat="1" ht="16.5" x14ac:dyDescent="0.3">
      <c r="A16" s="1" t="s">
        <v>27</v>
      </c>
      <c r="B16" s="25">
        <v>82.5</v>
      </c>
      <c r="C16">
        <f>1.85/2*100</f>
        <v>92.5</v>
      </c>
      <c r="D16" s="10">
        <v>80</v>
      </c>
      <c r="E16" s="10">
        <v>98.5</v>
      </c>
      <c r="F16">
        <f>3.78/0.04</f>
        <v>94.5</v>
      </c>
      <c r="G16">
        <f>3.68/0.04</f>
        <v>92</v>
      </c>
      <c r="H16">
        <f>3.95/0.04</f>
        <v>98.75</v>
      </c>
      <c r="I16">
        <f>3.96/0.04</f>
        <v>99</v>
      </c>
      <c r="J16">
        <f>3.75/0.04</f>
        <v>93.75</v>
      </c>
      <c r="K16" s="11">
        <f>3.9/0.04</f>
        <v>97.5</v>
      </c>
      <c r="L16" s="10">
        <f t="shared" si="1"/>
        <v>88.375</v>
      </c>
      <c r="M16" s="10">
        <f t="shared" si="2"/>
        <v>95.916666666666671</v>
      </c>
      <c r="N16" s="3">
        <f t="shared" si="3"/>
        <v>28.209375000000001</v>
      </c>
      <c r="O16"/>
      <c r="P16"/>
      <c r="Q16"/>
      <c r="R16"/>
      <c r="S16"/>
      <c r="T16"/>
      <c r="U16" s="18"/>
      <c r="V16" s="17"/>
      <c r="W16" s="5"/>
      <c r="X16" s="5"/>
      <c r="Y16"/>
      <c r="Z16"/>
      <c r="AA16"/>
      <c r="AB16"/>
      <c r="AC16"/>
      <c r="AD16"/>
      <c r="AE16"/>
      <c r="AF16"/>
    </row>
    <row r="17" spans="1:32" s="3" customFormat="1" ht="16.5" x14ac:dyDescent="0.3">
      <c r="A17" s="3" t="s">
        <v>11</v>
      </c>
      <c r="B17" s="16">
        <f>AVERAGE(B10:B16)</f>
        <v>89.642857142857139</v>
      </c>
      <c r="C17" s="16">
        <f t="shared" ref="C17:K17" si="6">AVERAGE(C10:C16)</f>
        <v>90.642857142857139</v>
      </c>
      <c r="D17" s="16">
        <f t="shared" si="6"/>
        <v>76.428571428571431</v>
      </c>
      <c r="E17" s="16">
        <f t="shared" si="6"/>
        <v>93.142857142857139</v>
      </c>
      <c r="F17" s="16">
        <f t="shared" si="6"/>
        <v>90.071428571428569</v>
      </c>
      <c r="G17" s="16">
        <f t="shared" si="6"/>
        <v>95.428571428571431</v>
      </c>
      <c r="H17" s="16">
        <f t="shared" si="6"/>
        <v>94.857142857142861</v>
      </c>
      <c r="I17" s="16">
        <f t="shared" si="6"/>
        <v>94.857142857142861</v>
      </c>
      <c r="J17" s="16">
        <f t="shared" si="6"/>
        <v>89.642857142857139</v>
      </c>
      <c r="K17" s="16">
        <f t="shared" si="6"/>
        <v>96.607142857142861</v>
      </c>
      <c r="L17" s="10">
        <f t="shared" si="1"/>
        <v>87.464285714285722</v>
      </c>
      <c r="M17" s="10">
        <f t="shared" si="2"/>
        <v>93.577380952380963</v>
      </c>
      <c r="N17" s="3">
        <f t="shared" si="3"/>
        <v>27.614732142857147</v>
      </c>
      <c r="O17" s="16" t="e">
        <f t="shared" ref="O17:R17" si="7">AVERAGE(O10:O15)</f>
        <v>#DIV/0!</v>
      </c>
      <c r="P17" s="16" t="e">
        <f t="shared" si="7"/>
        <v>#DIV/0!</v>
      </c>
      <c r="Q17" s="16" t="e">
        <f t="shared" si="7"/>
        <v>#DIV/0!</v>
      </c>
      <c r="R17" s="16" t="e">
        <f t="shared" si="7"/>
        <v>#DIV/0!</v>
      </c>
      <c r="S17" s="16">
        <f t="shared" ref="S17:T17" si="8">AVERAGE(S10:S15)</f>
        <v>0</v>
      </c>
      <c r="T17" s="16">
        <f t="shared" si="8"/>
        <v>0</v>
      </c>
      <c r="U17" s="18" t="str">
        <f t="shared" si="5"/>
        <v>U</v>
      </c>
      <c r="V17" s="16">
        <f>AVERAGE(V10:V15)</f>
        <v>87.3125</v>
      </c>
      <c r="W17" s="5"/>
      <c r="X17" s="5"/>
      <c r="Y17"/>
      <c r="Z17"/>
      <c r="AA17"/>
      <c r="AB17"/>
      <c r="AC17"/>
      <c r="AD17"/>
      <c r="AE17"/>
      <c r="AF17"/>
    </row>
    <row r="18" spans="1:32" ht="16.5" x14ac:dyDescent="0.3">
      <c r="W18" s="5"/>
      <c r="X18" s="5"/>
    </row>
    <row r="19" spans="1:32" s="3" customFormat="1" ht="16.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s="5"/>
      <c r="X19" s="5"/>
      <c r="Y19"/>
      <c r="Z19"/>
      <c r="AA19"/>
      <c r="AB19"/>
      <c r="AC19"/>
      <c r="AD19"/>
      <c r="AE19"/>
      <c r="AF19"/>
    </row>
    <row r="20" spans="1:32" s="3" customForma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32" s="3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32" s="3" customForma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32" s="3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32" s="3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32" s="3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32" s="3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32" s="3" customForma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32" s="3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32" s="3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32" s="3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32" s="3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32" s="3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32" s="3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32" s="3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32" s="3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32" s="3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32" s="3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32" s="3" customForma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32" s="3" customForma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32" s="3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32" s="3" customForma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32" s="3" customForma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32" s="3" customForma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32" s="3" customForma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32" s="3" customForma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32" s="3" customForma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32" s="3" customForma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32" s="3" customForma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32" s="3" customForma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1:3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32" s="3" customForma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1:3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32" s="3" customForma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1:3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32" s="3" customForma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32" s="3" customForma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1:3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32" s="3" customForma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1:3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32" s="3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1:32" ht="1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32" s="3" customForma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1:3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32" s="3" customForma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1:3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32" s="3" customForma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1:3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32" s="3" customForma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1:3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32" s="3" customForma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1:3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32" s="3" customForma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1:3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32" s="3" customForma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1:3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32" s="3" customForma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1:3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32" s="3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1:3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32" s="3" customForma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1:3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32" s="3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1:3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32" s="3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32" s="3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32" s="3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32" s="3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32" s="3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32" s="3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32" s="3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32" s="3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:3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2" s="3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1:3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32" s="3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1:3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32" s="3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1:3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32" s="3" customForma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1:3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32" s="3" customForma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:3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32" s="3" customForma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2" spans="1:32" s="3" customForma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4" spans="1:32" s="3" customForma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</sheetData>
  <mergeCells count="1">
    <mergeCell ref="B6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8"/>
  <sheetViews>
    <sheetView zoomScale="103" workbookViewId="0">
      <selection activeCell="K14" sqref="K14"/>
    </sheetView>
  </sheetViews>
  <sheetFormatPr defaultRowHeight="15" x14ac:dyDescent="0.25"/>
  <cols>
    <col min="1" max="1" width="18.28515625" customWidth="1"/>
    <col min="2" max="2" width="10.85546875" bestFit="1" customWidth="1"/>
    <col min="6" max="6" width="11.28515625" customWidth="1"/>
    <col min="7" max="7" width="13.5703125" style="17" customWidth="1"/>
    <col min="8" max="8" width="11.42578125" customWidth="1"/>
    <col min="9" max="9" width="10.42578125" customWidth="1"/>
    <col min="10" max="10" width="11.5703125" customWidth="1"/>
    <col min="11" max="11" width="12.85546875" customWidth="1"/>
    <col min="12" max="12" width="9.140625" customWidth="1"/>
    <col min="13" max="20" width="8.85546875"/>
  </cols>
  <sheetData>
    <row r="1" spans="1:20" x14ac:dyDescent="0.25">
      <c r="A1" s="1" t="s">
        <v>0</v>
      </c>
      <c r="B1" s="1" t="s">
        <v>19</v>
      </c>
      <c r="M1" s="1"/>
    </row>
    <row r="2" spans="1:20" x14ac:dyDescent="0.25">
      <c r="A2" s="1" t="s">
        <v>2</v>
      </c>
      <c r="B2" s="1" t="s">
        <v>18</v>
      </c>
    </row>
    <row r="3" spans="1:20" x14ac:dyDescent="0.25">
      <c r="A3" s="1"/>
      <c r="B3" s="6"/>
    </row>
    <row r="4" spans="1:20" x14ac:dyDescent="0.25">
      <c r="A4" s="1"/>
      <c r="B4" s="6"/>
    </row>
    <row r="5" spans="1:20" x14ac:dyDescent="0.25">
      <c r="A5" s="1"/>
      <c r="B5" s="1" t="s">
        <v>13</v>
      </c>
      <c r="H5" s="11"/>
    </row>
    <row r="6" spans="1:20" x14ac:dyDescent="0.25">
      <c r="B6" s="7"/>
      <c r="C6" s="7"/>
      <c r="D6" s="7"/>
      <c r="E6" s="7"/>
      <c r="F6" s="7"/>
      <c r="G6" s="20"/>
      <c r="H6" s="12"/>
    </row>
    <row r="7" spans="1:20" x14ac:dyDescent="0.25">
      <c r="A7" s="2"/>
      <c r="B7" s="8">
        <v>1</v>
      </c>
      <c r="C7" s="8">
        <v>2</v>
      </c>
      <c r="D7" s="8">
        <v>3</v>
      </c>
      <c r="E7" s="8">
        <v>4</v>
      </c>
      <c r="F7" s="8" t="s">
        <v>15</v>
      </c>
      <c r="G7" s="21" t="s">
        <v>16</v>
      </c>
      <c r="H7" s="13" t="s">
        <v>17</v>
      </c>
    </row>
    <row r="8" spans="1:20" s="3" customFormat="1" x14ac:dyDescent="0.25">
      <c r="A8" s="1" t="s">
        <v>10</v>
      </c>
      <c r="B8" s="9">
        <v>20</v>
      </c>
      <c r="C8" s="9">
        <v>20</v>
      </c>
      <c r="D8" s="9">
        <v>15</v>
      </c>
      <c r="E8" s="9">
        <v>15</v>
      </c>
      <c r="F8" s="9">
        <f>SUM(B8:E8)</f>
        <v>70</v>
      </c>
      <c r="G8" s="22">
        <f>F8/70*100</f>
        <v>100</v>
      </c>
      <c r="H8" s="14"/>
      <c r="I8"/>
      <c r="J8" t="s">
        <v>23</v>
      </c>
      <c r="K8"/>
      <c r="L8"/>
      <c r="M8"/>
      <c r="N8"/>
      <c r="O8"/>
      <c r="P8"/>
      <c r="Q8"/>
      <c r="R8"/>
      <c r="S8"/>
      <c r="T8"/>
    </row>
    <row r="9" spans="1:20" x14ac:dyDescent="0.25">
      <c r="A9" s="1" t="s">
        <v>14</v>
      </c>
      <c r="B9" s="9"/>
      <c r="C9" s="9"/>
      <c r="D9" s="9"/>
      <c r="E9" s="9"/>
      <c r="F9" s="9"/>
      <c r="G9" s="22"/>
      <c r="H9" s="14"/>
    </row>
    <row r="10" spans="1:20" s="3" customFormat="1" ht="16.5" x14ac:dyDescent="0.3">
      <c r="A10">
        <v>1</v>
      </c>
      <c r="B10" s="10">
        <v>9</v>
      </c>
      <c r="C10" s="10">
        <v>6</v>
      </c>
      <c r="D10" s="10">
        <v>4</v>
      </c>
      <c r="E10" s="10">
        <v>6</v>
      </c>
      <c r="F10" s="9">
        <f>SUM(B10:E10)</f>
        <v>25</v>
      </c>
      <c r="G10" s="22">
        <f t="shared" ref="G10:G16" si="0">F10/70*100</f>
        <v>35.714285714285715</v>
      </c>
      <c r="H10" s="18" t="str">
        <f>IF(F10&gt;59.9,"VG",IF(F10&gt;29.9,"G","U"))</f>
        <v>U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 ht="16.5" x14ac:dyDescent="0.3">
      <c r="A11">
        <v>2</v>
      </c>
      <c r="B11" s="10"/>
      <c r="C11" s="10"/>
      <c r="D11" s="10"/>
      <c r="E11" s="10"/>
      <c r="F11" s="9">
        <f t="shared" ref="F11:F16" si="1">SUM(B11:E11)</f>
        <v>0</v>
      </c>
      <c r="G11" s="22">
        <f t="shared" si="0"/>
        <v>0</v>
      </c>
      <c r="H11" s="18" t="str">
        <f t="shared" ref="H11:H18" si="2">IF(F11&gt;59.9,"VG",IF(F11&gt;29.9,"G","U"))</f>
        <v>U</v>
      </c>
    </row>
    <row r="12" spans="1:20" s="3" customFormat="1" ht="16.5" x14ac:dyDescent="0.3">
      <c r="A12">
        <v>3</v>
      </c>
      <c r="B12" s="10">
        <v>11</v>
      </c>
      <c r="C12" s="10">
        <v>5</v>
      </c>
      <c r="D12" s="10">
        <v>5</v>
      </c>
      <c r="E12" s="10">
        <v>6</v>
      </c>
      <c r="F12" s="9">
        <f t="shared" si="1"/>
        <v>27</v>
      </c>
      <c r="G12" s="22">
        <f t="shared" si="0"/>
        <v>38.571428571428577</v>
      </c>
      <c r="H12" s="18" t="str">
        <f t="shared" si="2"/>
        <v>U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 ht="16.5" x14ac:dyDescent="0.3">
      <c r="A13">
        <v>4</v>
      </c>
      <c r="B13" s="10">
        <v>17</v>
      </c>
      <c r="C13" s="10">
        <v>5</v>
      </c>
      <c r="D13" s="10">
        <v>8</v>
      </c>
      <c r="E13" s="10">
        <v>4</v>
      </c>
      <c r="F13" s="9">
        <f t="shared" si="1"/>
        <v>34</v>
      </c>
      <c r="G13" s="22">
        <f t="shared" si="0"/>
        <v>48.571428571428569</v>
      </c>
      <c r="H13" s="18" t="str">
        <f t="shared" si="2"/>
        <v>G</v>
      </c>
    </row>
    <row r="14" spans="1:20" s="3" customFormat="1" ht="16.5" x14ac:dyDescent="0.3">
      <c r="A14">
        <v>5</v>
      </c>
      <c r="B14" s="10">
        <v>13</v>
      </c>
      <c r="C14" s="10">
        <v>1</v>
      </c>
      <c r="D14" s="10">
        <v>5</v>
      </c>
      <c r="E14" s="10">
        <v>3</v>
      </c>
      <c r="F14" s="9">
        <f t="shared" si="1"/>
        <v>22</v>
      </c>
      <c r="G14" s="22">
        <f t="shared" si="0"/>
        <v>31.428571428571427</v>
      </c>
      <c r="H14" s="18" t="str">
        <f t="shared" si="2"/>
        <v>U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 s="3" customFormat="1" ht="16.5" x14ac:dyDescent="0.3">
      <c r="A15">
        <v>6</v>
      </c>
      <c r="B15" s="10">
        <v>16</v>
      </c>
      <c r="C15" s="10">
        <v>5</v>
      </c>
      <c r="D15" s="10">
        <v>5</v>
      </c>
      <c r="E15" s="10">
        <v>6</v>
      </c>
      <c r="F15" s="9">
        <f t="shared" si="1"/>
        <v>32</v>
      </c>
      <c r="G15" s="22">
        <f t="shared" si="0"/>
        <v>45.714285714285715</v>
      </c>
      <c r="H15" s="18" t="str">
        <f t="shared" si="2"/>
        <v>G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 s="3" customFormat="1" ht="16.5" x14ac:dyDescent="0.3">
      <c r="A16">
        <v>7</v>
      </c>
      <c r="B16" s="10">
        <v>0</v>
      </c>
      <c r="C16" s="10">
        <v>2</v>
      </c>
      <c r="D16" s="10">
        <v>0</v>
      </c>
      <c r="E16" s="10">
        <v>4</v>
      </c>
      <c r="F16" s="9">
        <f t="shared" si="1"/>
        <v>6</v>
      </c>
      <c r="G16" s="22">
        <f t="shared" si="0"/>
        <v>8.5714285714285712</v>
      </c>
      <c r="H16" s="18" t="str">
        <f t="shared" si="2"/>
        <v>U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 s="3" customFormat="1" ht="16.5" x14ac:dyDescent="0.3">
      <c r="A17"/>
      <c r="B17"/>
      <c r="C17"/>
      <c r="D17"/>
      <c r="E17"/>
      <c r="F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</row>
    <row r="18" spans="1:20" s="3" customFormat="1" ht="16.5" x14ac:dyDescent="0.3">
      <c r="A18" s="3" t="s">
        <v>11</v>
      </c>
      <c r="B18" s="16">
        <f t="shared" ref="B18:G18" si="3">AVERAGE(B10:B16)</f>
        <v>11</v>
      </c>
      <c r="C18" s="16">
        <f t="shared" si="3"/>
        <v>4</v>
      </c>
      <c r="D18" s="16">
        <f t="shared" si="3"/>
        <v>4.5</v>
      </c>
      <c r="E18" s="16">
        <f t="shared" si="3"/>
        <v>4.833333333333333</v>
      </c>
      <c r="F18" s="16">
        <f t="shared" si="3"/>
        <v>20.857142857142858</v>
      </c>
      <c r="G18" s="16">
        <f t="shared" si="3"/>
        <v>29.795918367346939</v>
      </c>
      <c r="H18" s="18" t="str">
        <f t="shared" si="2"/>
        <v>U</v>
      </c>
      <c r="I18"/>
      <c r="J18"/>
      <c r="K18"/>
      <c r="L18"/>
      <c r="M18"/>
      <c r="N18"/>
      <c r="O18"/>
      <c r="P18"/>
      <c r="Q18"/>
      <c r="R18"/>
      <c r="S18"/>
      <c r="T18"/>
    </row>
    <row r="19" spans="1:20" ht="16.5" x14ac:dyDescent="0.3">
      <c r="A19" t="s">
        <v>22</v>
      </c>
      <c r="B19" s="17">
        <f>B18/B8*100</f>
        <v>55.000000000000007</v>
      </c>
      <c r="C19" s="17">
        <f t="shared" ref="C19:E19" si="4">C18/C8*100</f>
        <v>20</v>
      </c>
      <c r="D19" s="17">
        <f t="shared" si="4"/>
        <v>30</v>
      </c>
      <c r="E19" s="17">
        <f t="shared" si="4"/>
        <v>32.222222222222221</v>
      </c>
      <c r="K19" s="5"/>
      <c r="L19" s="5"/>
    </row>
    <row r="20" spans="1:20" s="3" customFormat="1" ht="16.5" x14ac:dyDescent="0.3">
      <c r="A20"/>
      <c r="B20"/>
      <c r="C20"/>
      <c r="D20"/>
      <c r="E20"/>
      <c r="F20"/>
      <c r="G20" s="17"/>
      <c r="H20"/>
      <c r="I20"/>
      <c r="J20"/>
      <c r="K20" s="5"/>
      <c r="L20" s="5"/>
      <c r="M20"/>
      <c r="N20"/>
      <c r="O20"/>
      <c r="P20"/>
      <c r="Q20"/>
      <c r="R20"/>
      <c r="S20"/>
      <c r="T20"/>
    </row>
    <row r="21" spans="1:20" x14ac:dyDescent="0.25">
      <c r="A21" s="3"/>
      <c r="B21" s="3"/>
      <c r="C21" s="3"/>
      <c r="D21" s="3"/>
      <c r="E21" s="3"/>
      <c r="F21" s="3"/>
      <c r="G21" s="16"/>
      <c r="H21" s="3"/>
      <c r="I21" s="3"/>
    </row>
    <row r="22" spans="1:20" s="3" customFormat="1" x14ac:dyDescent="0.25">
      <c r="A22"/>
      <c r="B22"/>
      <c r="C22"/>
      <c r="D22"/>
      <c r="E22"/>
      <c r="F22"/>
      <c r="G22" s="17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5">
      <c r="A23" s="3"/>
      <c r="B23" s="3"/>
      <c r="C23" s="3"/>
      <c r="D23" s="3"/>
      <c r="E23" s="3"/>
      <c r="F23" s="3"/>
      <c r="G23" s="16"/>
      <c r="H23" s="3"/>
      <c r="I23" s="3"/>
    </row>
    <row r="24" spans="1:20" s="3" customFormat="1" x14ac:dyDescent="0.25">
      <c r="A24"/>
      <c r="B24"/>
      <c r="C24"/>
      <c r="D24"/>
      <c r="E24"/>
      <c r="F24"/>
      <c r="G24" s="17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5">
      <c r="A25" s="3"/>
      <c r="B25" s="3"/>
      <c r="C25" s="3"/>
      <c r="D25" s="3"/>
      <c r="E25" s="3"/>
      <c r="F25" s="3"/>
      <c r="G25" s="16"/>
      <c r="H25" s="3"/>
      <c r="I25" s="3"/>
    </row>
    <row r="26" spans="1:20" s="3" customFormat="1" x14ac:dyDescent="0.25">
      <c r="A26"/>
      <c r="B26"/>
      <c r="C26"/>
      <c r="D26"/>
      <c r="E26"/>
      <c r="F26"/>
      <c r="G26" s="17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5">
      <c r="A27" s="3"/>
      <c r="B27" s="3"/>
      <c r="C27" s="3"/>
      <c r="D27" s="3"/>
      <c r="E27" s="3"/>
      <c r="F27" s="3"/>
      <c r="G27" s="16"/>
      <c r="H27" s="3"/>
      <c r="I27" s="3"/>
    </row>
    <row r="28" spans="1:20" s="3" customFormat="1" x14ac:dyDescent="0.25">
      <c r="A28"/>
      <c r="B28"/>
      <c r="C28"/>
      <c r="D28"/>
      <c r="E28"/>
      <c r="F28"/>
      <c r="G28" s="17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5">
      <c r="A29" s="3"/>
      <c r="B29" s="3"/>
      <c r="C29" s="3"/>
      <c r="D29" s="3"/>
      <c r="E29" s="3"/>
      <c r="F29" s="3"/>
      <c r="G29" s="16"/>
      <c r="H29" s="3"/>
      <c r="I29" s="3"/>
    </row>
    <row r="30" spans="1:20" s="3" customFormat="1" x14ac:dyDescent="0.25">
      <c r="A30"/>
      <c r="B30"/>
      <c r="C30"/>
      <c r="D30"/>
      <c r="E30"/>
      <c r="F30"/>
      <c r="G30" s="17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5">
      <c r="A31" s="3"/>
      <c r="B31" s="3"/>
      <c r="C31" s="3"/>
      <c r="D31" s="3"/>
      <c r="E31" s="3"/>
      <c r="F31" s="3"/>
      <c r="G31" s="16"/>
      <c r="H31" s="3"/>
      <c r="I31" s="3"/>
    </row>
    <row r="32" spans="1:20" s="3" customFormat="1" x14ac:dyDescent="0.25">
      <c r="A32"/>
      <c r="B32"/>
      <c r="C32"/>
      <c r="D32"/>
      <c r="E32"/>
      <c r="F32"/>
      <c r="G32" s="17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5">
      <c r="A33" s="3"/>
      <c r="B33" s="3"/>
      <c r="C33" s="3"/>
      <c r="D33" s="3"/>
      <c r="E33" s="3"/>
      <c r="F33" s="3"/>
      <c r="G33" s="16"/>
      <c r="H33" s="3"/>
      <c r="I33" s="3"/>
    </row>
    <row r="34" spans="1:20" s="3" customFormat="1" x14ac:dyDescent="0.25">
      <c r="A34"/>
      <c r="B34"/>
      <c r="C34"/>
      <c r="D34"/>
      <c r="E34"/>
      <c r="F34"/>
      <c r="G34" s="17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5">
      <c r="A35" s="3"/>
      <c r="B35" s="3"/>
      <c r="C35" s="3"/>
      <c r="D35" s="3"/>
      <c r="E35" s="3"/>
      <c r="F35" s="3"/>
      <c r="G35" s="16"/>
      <c r="H35" s="3"/>
      <c r="I35" s="3"/>
    </row>
    <row r="36" spans="1:20" s="3" customFormat="1" x14ac:dyDescent="0.25">
      <c r="A36"/>
      <c r="B36"/>
      <c r="C36"/>
      <c r="D36"/>
      <c r="E36"/>
      <c r="F36"/>
      <c r="G36" s="17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5">
      <c r="A37" s="3"/>
      <c r="B37" s="3"/>
      <c r="C37" s="3"/>
      <c r="D37" s="3"/>
      <c r="E37" s="3"/>
      <c r="F37" s="3"/>
      <c r="G37" s="16"/>
      <c r="H37" s="3"/>
      <c r="I37" s="3"/>
    </row>
    <row r="38" spans="1:20" s="3" customFormat="1" x14ac:dyDescent="0.25">
      <c r="A38"/>
      <c r="B38"/>
      <c r="C38"/>
      <c r="D38"/>
      <c r="E38"/>
      <c r="F38"/>
      <c r="G38" s="17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x14ac:dyDescent="0.25">
      <c r="A39" s="3"/>
      <c r="B39" s="3"/>
      <c r="C39" s="3"/>
      <c r="D39" s="3"/>
      <c r="E39" s="3"/>
      <c r="F39" s="3"/>
      <c r="G39" s="16"/>
      <c r="H39" s="3"/>
      <c r="I39" s="3"/>
    </row>
    <row r="40" spans="1:20" s="3" customFormat="1" x14ac:dyDescent="0.25">
      <c r="A40"/>
      <c r="B40"/>
      <c r="C40"/>
      <c r="D40"/>
      <c r="E40"/>
      <c r="F40"/>
      <c r="G40" s="17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x14ac:dyDescent="0.25">
      <c r="A41" s="3"/>
      <c r="B41" s="3"/>
      <c r="C41" s="3"/>
      <c r="D41" s="3"/>
      <c r="E41" s="3"/>
      <c r="F41" s="3"/>
      <c r="G41" s="16"/>
      <c r="H41" s="3"/>
      <c r="I41" s="3"/>
    </row>
    <row r="42" spans="1:20" s="3" customFormat="1" x14ac:dyDescent="0.25">
      <c r="A42"/>
      <c r="B42"/>
      <c r="C42"/>
      <c r="D42"/>
      <c r="E42"/>
      <c r="F42"/>
      <c r="G42" s="17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x14ac:dyDescent="0.25">
      <c r="A43" s="3"/>
      <c r="B43" s="3"/>
      <c r="C43" s="3"/>
      <c r="D43" s="3"/>
      <c r="E43" s="3"/>
      <c r="F43" s="3"/>
      <c r="G43" s="16"/>
      <c r="H43" s="3"/>
      <c r="I43" s="3"/>
    </row>
    <row r="44" spans="1:20" s="3" customFormat="1" x14ac:dyDescent="0.25">
      <c r="A44"/>
      <c r="B44"/>
      <c r="C44"/>
      <c r="D44"/>
      <c r="E44"/>
      <c r="F44"/>
      <c r="G44" s="17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x14ac:dyDescent="0.25">
      <c r="A45" s="3"/>
      <c r="B45" s="3"/>
      <c r="C45" s="3"/>
      <c r="D45" s="3"/>
      <c r="E45" s="3"/>
      <c r="F45" s="3"/>
      <c r="G45" s="16"/>
      <c r="H45" s="3"/>
      <c r="I45" s="3"/>
    </row>
    <row r="46" spans="1:20" s="3" customFormat="1" x14ac:dyDescent="0.25">
      <c r="A46"/>
      <c r="B46"/>
      <c r="C46"/>
      <c r="D46"/>
      <c r="E46"/>
      <c r="F46"/>
      <c r="G46" s="17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x14ac:dyDescent="0.25">
      <c r="A47" s="3"/>
      <c r="B47" s="3"/>
      <c r="C47" s="3"/>
      <c r="D47" s="3"/>
      <c r="E47" s="3"/>
      <c r="F47" s="3"/>
      <c r="G47" s="16"/>
      <c r="H47" s="3"/>
      <c r="I47" s="3"/>
    </row>
    <row r="48" spans="1:20" s="3" customFormat="1" x14ac:dyDescent="0.25">
      <c r="A48"/>
      <c r="B48"/>
      <c r="C48"/>
      <c r="D48"/>
      <c r="E48"/>
      <c r="F48"/>
      <c r="G48" s="17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5">
      <c r="A49" s="3"/>
      <c r="B49" s="3"/>
      <c r="C49" s="3"/>
      <c r="D49" s="3"/>
      <c r="E49" s="3"/>
      <c r="F49" s="3"/>
      <c r="G49" s="16"/>
      <c r="H49" s="3"/>
      <c r="I49" s="3"/>
    </row>
    <row r="50" spans="1:20" s="3" customFormat="1" x14ac:dyDescent="0.25">
      <c r="A50"/>
      <c r="B50"/>
      <c r="C50"/>
      <c r="D50"/>
      <c r="E50"/>
      <c r="F50"/>
      <c r="G50" s="17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5">
      <c r="A51" s="3"/>
      <c r="B51" s="3"/>
      <c r="C51" s="3"/>
      <c r="D51" s="3"/>
      <c r="E51" s="3"/>
      <c r="F51" s="3"/>
      <c r="G51" s="16"/>
      <c r="H51" s="3"/>
      <c r="I51" s="3"/>
    </row>
    <row r="52" spans="1:20" s="3" customFormat="1" x14ac:dyDescent="0.25">
      <c r="A52"/>
      <c r="B52"/>
      <c r="C52"/>
      <c r="D52"/>
      <c r="E52"/>
      <c r="F52"/>
      <c r="G52" s="17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5">
      <c r="A53" s="3"/>
      <c r="B53" s="3"/>
      <c r="C53" s="3"/>
      <c r="D53" s="3"/>
      <c r="E53" s="3"/>
      <c r="F53" s="3"/>
      <c r="G53" s="16"/>
      <c r="H53" s="3"/>
      <c r="I53" s="3"/>
    </row>
    <row r="54" spans="1:20" s="3" customFormat="1" x14ac:dyDescent="0.25">
      <c r="A54"/>
      <c r="B54"/>
      <c r="C54"/>
      <c r="D54"/>
      <c r="E54"/>
      <c r="F54"/>
      <c r="G54" s="17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5">
      <c r="A55" s="3"/>
      <c r="B55" s="3"/>
      <c r="C55" s="3"/>
      <c r="D55" s="3"/>
      <c r="E55" s="3"/>
      <c r="F55" s="3"/>
      <c r="G55" s="16"/>
      <c r="H55" s="3"/>
      <c r="I55" s="3"/>
    </row>
    <row r="56" spans="1:20" s="3" customFormat="1" x14ac:dyDescent="0.25">
      <c r="A56"/>
      <c r="B56"/>
      <c r="C56"/>
      <c r="D56"/>
      <c r="E56"/>
      <c r="F56"/>
      <c r="G56" s="17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5">
      <c r="A57" s="3"/>
      <c r="B57" s="3"/>
      <c r="C57" s="3"/>
      <c r="D57" s="3"/>
      <c r="E57" s="3"/>
      <c r="F57" s="3"/>
      <c r="G57" s="16"/>
      <c r="H57" s="3"/>
      <c r="I57" s="3"/>
    </row>
    <row r="58" spans="1:20" s="3" customFormat="1" x14ac:dyDescent="0.25">
      <c r="A58"/>
      <c r="B58"/>
      <c r="C58"/>
      <c r="D58"/>
      <c r="E58"/>
      <c r="F58"/>
      <c r="G58" s="17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5">
      <c r="A59" s="3"/>
      <c r="B59" s="3"/>
      <c r="C59" s="3"/>
      <c r="D59" s="3"/>
      <c r="E59" s="3"/>
      <c r="F59" s="3"/>
      <c r="G59" s="16"/>
      <c r="H59" s="3"/>
      <c r="I59" s="3"/>
    </row>
    <row r="60" spans="1:20" s="3" customFormat="1" x14ac:dyDescent="0.25">
      <c r="A60"/>
      <c r="B60"/>
      <c r="C60"/>
      <c r="D60"/>
      <c r="E60"/>
      <c r="F60"/>
      <c r="G60" s="17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5">
      <c r="A61" s="3"/>
      <c r="B61" s="3"/>
      <c r="C61" s="3"/>
      <c r="D61" s="3"/>
      <c r="E61" s="3"/>
      <c r="F61" s="3"/>
      <c r="G61" s="16"/>
      <c r="H61" s="3"/>
      <c r="I61" s="3"/>
    </row>
    <row r="62" spans="1:20" s="3" customFormat="1" x14ac:dyDescent="0.25">
      <c r="A62"/>
      <c r="B62"/>
      <c r="C62"/>
      <c r="D62"/>
      <c r="E62"/>
      <c r="F62"/>
      <c r="G62" s="17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5">
      <c r="A63" s="3"/>
      <c r="B63" s="3"/>
      <c r="C63" s="3"/>
      <c r="D63" s="3"/>
      <c r="E63" s="3"/>
      <c r="F63" s="3"/>
      <c r="G63" s="16"/>
      <c r="H63" s="3"/>
      <c r="I63" s="3"/>
    </row>
    <row r="64" spans="1:20" s="3" customFormat="1" x14ac:dyDescent="0.25">
      <c r="A64"/>
      <c r="B64"/>
      <c r="C64"/>
      <c r="D64"/>
      <c r="E64"/>
      <c r="F64"/>
      <c r="G64" s="17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ht="13.5" customHeight="1" x14ac:dyDescent="0.25">
      <c r="A65" s="3"/>
      <c r="B65" s="3"/>
      <c r="C65" s="3"/>
      <c r="D65" s="3"/>
      <c r="E65" s="3"/>
      <c r="F65" s="3"/>
      <c r="G65" s="16"/>
      <c r="H65" s="3"/>
      <c r="I65" s="3"/>
    </row>
    <row r="66" spans="1:20" s="3" customFormat="1" x14ac:dyDescent="0.25">
      <c r="A66"/>
      <c r="B66"/>
      <c r="C66"/>
      <c r="D66"/>
      <c r="E66"/>
      <c r="F66"/>
      <c r="G66" s="17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x14ac:dyDescent="0.25">
      <c r="A67" s="3"/>
      <c r="B67" s="3"/>
      <c r="C67" s="3"/>
      <c r="D67" s="3"/>
      <c r="E67" s="3"/>
      <c r="F67" s="3"/>
      <c r="G67" s="16"/>
      <c r="H67" s="3"/>
      <c r="I67" s="3"/>
    </row>
    <row r="68" spans="1:20" s="3" customFormat="1" x14ac:dyDescent="0.25">
      <c r="A68"/>
      <c r="B68"/>
      <c r="C68"/>
      <c r="D68"/>
      <c r="E68"/>
      <c r="F68"/>
      <c r="G68" s="17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x14ac:dyDescent="0.25">
      <c r="A69" s="3"/>
      <c r="B69" s="3"/>
      <c r="C69" s="3"/>
      <c r="D69" s="3"/>
      <c r="E69" s="3"/>
      <c r="F69" s="3"/>
      <c r="G69" s="16"/>
      <c r="H69" s="3"/>
      <c r="I69" s="3"/>
    </row>
    <row r="70" spans="1:20" s="3" customFormat="1" x14ac:dyDescent="0.25">
      <c r="A70"/>
      <c r="B70"/>
      <c r="C70"/>
      <c r="D70"/>
      <c r="E70"/>
      <c r="F70"/>
      <c r="G70" s="17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0" x14ac:dyDescent="0.25">
      <c r="A71" s="3"/>
      <c r="B71" s="3"/>
      <c r="C71" s="3"/>
      <c r="D71" s="3"/>
      <c r="E71" s="3"/>
      <c r="F71" s="3"/>
      <c r="G71" s="16"/>
      <c r="H71" s="3"/>
      <c r="I71" s="3"/>
    </row>
    <row r="72" spans="1:20" s="3" customFormat="1" x14ac:dyDescent="0.25">
      <c r="A72"/>
      <c r="B72"/>
      <c r="C72"/>
      <c r="D72"/>
      <c r="E72"/>
      <c r="F72"/>
      <c r="G72" s="17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0" x14ac:dyDescent="0.25">
      <c r="A73" s="3"/>
      <c r="B73" s="3"/>
      <c r="C73" s="3"/>
      <c r="D73" s="3"/>
      <c r="E73" s="3"/>
      <c r="F73" s="3"/>
      <c r="G73" s="16"/>
      <c r="H73" s="3"/>
      <c r="I73" s="3"/>
    </row>
    <row r="74" spans="1:20" s="3" customFormat="1" x14ac:dyDescent="0.25">
      <c r="A74"/>
      <c r="B74"/>
      <c r="C74"/>
      <c r="D74"/>
      <c r="E74"/>
      <c r="F74"/>
      <c r="G74" s="17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0" x14ac:dyDescent="0.25">
      <c r="A75" s="3"/>
      <c r="B75" s="3"/>
      <c r="C75" s="3"/>
      <c r="D75" s="3"/>
      <c r="E75" s="3"/>
      <c r="F75" s="3"/>
      <c r="G75" s="16"/>
      <c r="H75" s="3"/>
      <c r="I75" s="3"/>
    </row>
    <row r="76" spans="1:20" s="3" customFormat="1" x14ac:dyDescent="0.25">
      <c r="A76"/>
      <c r="B76"/>
      <c r="C76"/>
      <c r="D76"/>
      <c r="E76"/>
      <c r="F76"/>
      <c r="G76" s="17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0" x14ac:dyDescent="0.25">
      <c r="A77" s="3"/>
      <c r="B77" s="3"/>
      <c r="C77" s="3"/>
      <c r="D77" s="3"/>
      <c r="E77" s="3"/>
      <c r="F77" s="3"/>
      <c r="G77" s="16"/>
      <c r="H77" s="3"/>
      <c r="I77" s="3"/>
    </row>
    <row r="78" spans="1:20" s="3" customFormat="1" x14ac:dyDescent="0.25">
      <c r="A78"/>
      <c r="B78"/>
      <c r="C78"/>
      <c r="D78"/>
      <c r="E78"/>
      <c r="F78"/>
      <c r="G78" s="17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1:20" x14ac:dyDescent="0.25">
      <c r="A79" s="3"/>
      <c r="B79" s="3"/>
      <c r="C79" s="3"/>
      <c r="D79" s="3"/>
      <c r="E79" s="3"/>
      <c r="F79" s="3"/>
      <c r="G79" s="16"/>
      <c r="H79" s="3"/>
      <c r="I79" s="3"/>
    </row>
    <row r="80" spans="1:20" s="3" customFormat="1" x14ac:dyDescent="0.25">
      <c r="A80"/>
      <c r="B80"/>
      <c r="C80"/>
      <c r="D80"/>
      <c r="E80"/>
      <c r="F80"/>
      <c r="G80" s="17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1:20" x14ac:dyDescent="0.25">
      <c r="A81" s="3"/>
      <c r="B81" s="3"/>
      <c r="C81" s="3"/>
      <c r="D81" s="3"/>
      <c r="E81" s="3"/>
      <c r="F81" s="3"/>
      <c r="G81" s="16"/>
      <c r="H81" s="3"/>
      <c r="I81" s="3"/>
    </row>
    <row r="82" spans="1:20" s="3" customFormat="1" x14ac:dyDescent="0.25">
      <c r="A82"/>
      <c r="B82"/>
      <c r="C82"/>
      <c r="D82"/>
      <c r="E82"/>
      <c r="F82"/>
      <c r="G82" s="17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1:20" x14ac:dyDescent="0.25">
      <c r="A83" s="3"/>
      <c r="B83" s="3"/>
      <c r="C83" s="3"/>
      <c r="D83" s="3"/>
      <c r="E83" s="3"/>
      <c r="F83" s="3"/>
      <c r="G83" s="16"/>
      <c r="H83" s="3"/>
      <c r="I83" s="3"/>
    </row>
    <row r="84" spans="1:20" s="3" customFormat="1" x14ac:dyDescent="0.25">
      <c r="A84"/>
      <c r="B84"/>
      <c r="C84"/>
      <c r="D84"/>
      <c r="E84"/>
      <c r="F84"/>
      <c r="G84" s="17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x14ac:dyDescent="0.25">
      <c r="A85" s="3"/>
      <c r="B85" s="3"/>
      <c r="C85" s="3"/>
      <c r="D85" s="3"/>
      <c r="E85" s="3"/>
      <c r="F85" s="3"/>
      <c r="G85" s="16"/>
      <c r="H85" s="3"/>
      <c r="I85" s="3"/>
    </row>
    <row r="86" spans="1:20" s="3" customFormat="1" x14ac:dyDescent="0.25">
      <c r="A86"/>
      <c r="B86"/>
      <c r="C86"/>
      <c r="D86"/>
      <c r="E86"/>
      <c r="F86"/>
      <c r="G86" s="17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x14ac:dyDescent="0.25">
      <c r="A87" s="3"/>
      <c r="B87" s="3"/>
      <c r="C87" s="3"/>
      <c r="D87" s="3"/>
      <c r="E87" s="3"/>
      <c r="F87" s="3"/>
      <c r="G87" s="16"/>
      <c r="H87" s="3"/>
      <c r="I87" s="3"/>
    </row>
    <row r="88" spans="1:20" s="3" customFormat="1" x14ac:dyDescent="0.25">
      <c r="A88"/>
      <c r="B88"/>
      <c r="C88"/>
      <c r="D88"/>
      <c r="E88"/>
      <c r="F88"/>
      <c r="G88" s="17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0" x14ac:dyDescent="0.25">
      <c r="A89" s="3"/>
      <c r="B89" s="3"/>
      <c r="C89" s="3"/>
      <c r="D89" s="3"/>
      <c r="E89" s="3"/>
      <c r="F89" s="3"/>
      <c r="G89" s="16"/>
      <c r="H89" s="3"/>
      <c r="I89" s="3"/>
    </row>
    <row r="90" spans="1:20" s="3" customFormat="1" x14ac:dyDescent="0.25">
      <c r="A90"/>
      <c r="B90"/>
      <c r="C90"/>
      <c r="D90"/>
      <c r="E90"/>
      <c r="F90"/>
      <c r="G90" s="17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x14ac:dyDescent="0.25">
      <c r="A91" s="3"/>
      <c r="B91" s="3"/>
      <c r="C91" s="3"/>
      <c r="D91" s="3"/>
      <c r="E91" s="3"/>
      <c r="F91" s="3"/>
      <c r="G91" s="16"/>
      <c r="H91" s="3"/>
      <c r="I91" s="3"/>
    </row>
    <row r="92" spans="1:20" s="3" customFormat="1" x14ac:dyDescent="0.25">
      <c r="A92"/>
      <c r="B92"/>
      <c r="C92"/>
      <c r="D92"/>
      <c r="E92"/>
      <c r="F92"/>
      <c r="G92" s="17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x14ac:dyDescent="0.25">
      <c r="A93" s="3"/>
      <c r="B93" s="3"/>
      <c r="C93" s="3"/>
      <c r="D93" s="3"/>
      <c r="E93" s="3"/>
      <c r="F93" s="3"/>
      <c r="G93" s="16"/>
      <c r="H93" s="3"/>
      <c r="I93" s="3"/>
    </row>
    <row r="94" spans="1:20" s="3" customFormat="1" x14ac:dyDescent="0.25">
      <c r="A94"/>
      <c r="B94"/>
      <c r="C94"/>
      <c r="D94"/>
      <c r="E94"/>
      <c r="F94"/>
      <c r="G94" s="17"/>
      <c r="H94"/>
      <c r="I94"/>
      <c r="J94"/>
      <c r="K94"/>
      <c r="L94"/>
      <c r="M94"/>
      <c r="N94"/>
      <c r="O94"/>
      <c r="P94"/>
      <c r="Q94"/>
      <c r="R94"/>
      <c r="S94"/>
      <c r="T94"/>
    </row>
    <row r="95" spans="1:20" x14ac:dyDescent="0.25">
      <c r="A95" s="3"/>
      <c r="B95" s="3"/>
      <c r="C95" s="3"/>
      <c r="D95" s="3"/>
      <c r="E95" s="3"/>
      <c r="F95" s="3"/>
      <c r="G95" s="16"/>
      <c r="H95" s="3"/>
      <c r="I95" s="3"/>
    </row>
    <row r="96" spans="1:20" s="3" customFormat="1" x14ac:dyDescent="0.25">
      <c r="A96"/>
      <c r="B96"/>
      <c r="C96"/>
      <c r="D96"/>
      <c r="E96"/>
      <c r="F96"/>
      <c r="G96" s="17"/>
      <c r="H96"/>
      <c r="I96"/>
      <c r="J96"/>
      <c r="K96"/>
      <c r="L96"/>
      <c r="M96"/>
      <c r="N96"/>
      <c r="O96"/>
      <c r="P96"/>
      <c r="Q96"/>
      <c r="R96"/>
      <c r="S96"/>
      <c r="T96"/>
    </row>
    <row r="97" spans="1:20" x14ac:dyDescent="0.25">
      <c r="A97" s="3"/>
      <c r="B97" s="3"/>
      <c r="C97" s="3"/>
      <c r="D97" s="3"/>
      <c r="E97" s="3"/>
      <c r="F97" s="3"/>
      <c r="G97" s="16"/>
      <c r="H97" s="3"/>
      <c r="I97" s="3"/>
    </row>
    <row r="98" spans="1:20" s="3" customFormat="1" x14ac:dyDescent="0.25">
      <c r="A98"/>
      <c r="B98"/>
      <c r="C98"/>
      <c r="D98"/>
      <c r="E98"/>
      <c r="F98"/>
      <c r="G98" s="17"/>
      <c r="H98"/>
      <c r="I98"/>
      <c r="J98"/>
      <c r="K98"/>
      <c r="L98"/>
      <c r="M98"/>
      <c r="N98"/>
      <c r="O98"/>
      <c r="P98"/>
      <c r="Q98"/>
      <c r="R98"/>
      <c r="S98"/>
      <c r="T98"/>
    </row>
    <row r="99" spans="1:20" x14ac:dyDescent="0.25">
      <c r="A99" s="3"/>
      <c r="B99" s="3"/>
      <c r="C99" s="3"/>
      <c r="D99" s="3"/>
      <c r="E99" s="3"/>
      <c r="F99" s="3"/>
      <c r="G99" s="16"/>
      <c r="H99" s="3"/>
      <c r="I99" s="3"/>
    </row>
    <row r="100" spans="1:20" s="3" customFormat="1" x14ac:dyDescent="0.25">
      <c r="A100"/>
      <c r="B100"/>
      <c r="C100"/>
      <c r="D100"/>
      <c r="E100"/>
      <c r="F100"/>
      <c r="G100" s="17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spans="1:20" x14ac:dyDescent="0.25">
      <c r="A101" s="3"/>
      <c r="B101" s="3"/>
      <c r="C101" s="3"/>
      <c r="D101" s="3"/>
      <c r="E101" s="3"/>
      <c r="F101" s="3"/>
      <c r="G101" s="16"/>
      <c r="H101" s="3"/>
      <c r="I101" s="3"/>
    </row>
    <row r="102" spans="1:20" s="3" customFormat="1" x14ac:dyDescent="0.25">
      <c r="A102"/>
      <c r="B102"/>
      <c r="C102"/>
      <c r="D102"/>
      <c r="E102"/>
      <c r="F102"/>
      <c r="G102" s="17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x14ac:dyDescent="0.25">
      <c r="A103" s="3"/>
      <c r="B103" s="3"/>
      <c r="C103" s="3"/>
      <c r="D103" s="3"/>
      <c r="E103" s="3"/>
      <c r="F103" s="3"/>
      <c r="G103" s="16"/>
      <c r="H103" s="3"/>
      <c r="I103" s="3"/>
    </row>
    <row r="104" spans="1:20" s="3" customFormat="1" x14ac:dyDescent="0.25">
      <c r="A104"/>
      <c r="B104"/>
      <c r="C104"/>
      <c r="D104"/>
      <c r="E104"/>
      <c r="F104"/>
      <c r="G104" s="17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ht="14.25" customHeight="1" x14ac:dyDescent="0.25">
      <c r="A105" s="3"/>
      <c r="B105" s="3"/>
      <c r="C105" s="3"/>
      <c r="D105" s="3"/>
      <c r="E105" s="3"/>
      <c r="F105" s="3"/>
      <c r="G105" s="16"/>
      <c r="H105" s="3"/>
      <c r="I105" s="3"/>
    </row>
    <row r="106" spans="1:20" s="3" customFormat="1" x14ac:dyDescent="0.25">
      <c r="A106"/>
      <c r="B106"/>
      <c r="C106"/>
      <c r="D106"/>
      <c r="E106"/>
      <c r="F106"/>
      <c r="G106" s="17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x14ac:dyDescent="0.25">
      <c r="A107" s="3"/>
      <c r="B107" s="3"/>
      <c r="C107" s="3"/>
      <c r="D107" s="3"/>
      <c r="E107" s="3"/>
      <c r="F107" s="3"/>
      <c r="G107" s="16"/>
      <c r="H107" s="3"/>
      <c r="I107" s="3"/>
    </row>
    <row r="108" spans="1:20" s="3" customFormat="1" x14ac:dyDescent="0.25">
      <c r="A108"/>
      <c r="B108"/>
      <c r="C108"/>
      <c r="D108"/>
      <c r="E108"/>
      <c r="F108"/>
      <c r="G108" s="17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x14ac:dyDescent="0.25">
      <c r="A109" s="3"/>
      <c r="B109" s="3"/>
      <c r="C109" s="3"/>
      <c r="D109" s="3"/>
      <c r="E109" s="3"/>
      <c r="F109" s="3"/>
      <c r="G109" s="16"/>
      <c r="H109" s="3"/>
      <c r="I109" s="3"/>
    </row>
    <row r="110" spans="1:20" s="3" customFormat="1" x14ac:dyDescent="0.25">
      <c r="A110"/>
      <c r="B110"/>
      <c r="C110"/>
      <c r="D110"/>
      <c r="E110"/>
      <c r="F110"/>
      <c r="G110" s="17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x14ac:dyDescent="0.25">
      <c r="A111" s="3"/>
      <c r="B111" s="3"/>
      <c r="C111" s="3"/>
      <c r="D111" s="3"/>
      <c r="E111" s="3"/>
      <c r="F111" s="3"/>
      <c r="G111" s="16"/>
      <c r="H111" s="3"/>
      <c r="I111" s="3"/>
    </row>
    <row r="112" spans="1:20" s="3" customFormat="1" x14ac:dyDescent="0.25">
      <c r="A112"/>
      <c r="B112"/>
      <c r="C112"/>
      <c r="D112"/>
      <c r="E112"/>
      <c r="F112"/>
      <c r="G112" s="17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1:20" x14ac:dyDescent="0.25">
      <c r="A113" s="3"/>
      <c r="B113" s="3"/>
      <c r="C113" s="3"/>
      <c r="D113" s="3"/>
      <c r="E113" s="3"/>
      <c r="F113" s="3"/>
      <c r="G113" s="16"/>
      <c r="H113" s="3"/>
      <c r="I113" s="3"/>
    </row>
    <row r="114" spans="1:20" s="3" customFormat="1" x14ac:dyDescent="0.25">
      <c r="A114"/>
      <c r="B114"/>
      <c r="C114"/>
      <c r="D114"/>
      <c r="E114"/>
      <c r="F114"/>
      <c r="G114" s="17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1:20" x14ac:dyDescent="0.25">
      <c r="A115" s="3"/>
      <c r="B115" s="3"/>
      <c r="C115" s="3"/>
      <c r="D115" s="3"/>
      <c r="E115" s="3"/>
      <c r="F115" s="3"/>
      <c r="G115" s="16"/>
      <c r="H115" s="3"/>
      <c r="I115" s="3"/>
    </row>
    <row r="116" spans="1:20" s="3" customFormat="1" x14ac:dyDescent="0.25">
      <c r="A116"/>
      <c r="B116"/>
      <c r="C116"/>
      <c r="D116"/>
      <c r="E116"/>
      <c r="F116"/>
      <c r="G116" s="17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1:20" x14ac:dyDescent="0.25">
      <c r="A117" s="3"/>
      <c r="B117" s="3"/>
      <c r="C117" s="3"/>
      <c r="D117" s="3"/>
      <c r="E117" s="3"/>
      <c r="F117" s="3"/>
      <c r="G117" s="16"/>
      <c r="H117" s="3"/>
      <c r="I117" s="3"/>
    </row>
    <row r="118" spans="1:20" s="3" customFormat="1" x14ac:dyDescent="0.25">
      <c r="A118"/>
      <c r="B118"/>
      <c r="C118"/>
      <c r="D118"/>
      <c r="E118"/>
      <c r="F118"/>
      <c r="G118" s="17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1:20" x14ac:dyDescent="0.25">
      <c r="A119" s="3"/>
      <c r="B119" s="3"/>
      <c r="C119" s="3"/>
      <c r="D119" s="3"/>
      <c r="E119" s="3"/>
      <c r="F119" s="3"/>
      <c r="G119" s="16"/>
      <c r="H119" s="3"/>
      <c r="I119" s="3"/>
    </row>
    <row r="120" spans="1:20" s="3" customFormat="1" x14ac:dyDescent="0.25">
      <c r="A120"/>
      <c r="B120"/>
      <c r="C120"/>
      <c r="D120"/>
      <c r="E120"/>
      <c r="F120"/>
      <c r="G120" s="17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1:20" x14ac:dyDescent="0.25">
      <c r="A121" s="3"/>
      <c r="B121" s="3"/>
      <c r="C121" s="3"/>
      <c r="D121" s="3"/>
      <c r="E121" s="3"/>
      <c r="F121" s="3"/>
      <c r="G121" s="16"/>
      <c r="H121" s="3"/>
      <c r="I121" s="3"/>
    </row>
    <row r="122" spans="1:20" s="3" customFormat="1" x14ac:dyDescent="0.25">
      <c r="A122"/>
      <c r="B122"/>
      <c r="C122"/>
      <c r="D122"/>
      <c r="E122"/>
      <c r="F122"/>
      <c r="G122" s="17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1:20" x14ac:dyDescent="0.25">
      <c r="A123" s="3"/>
      <c r="B123" s="3"/>
      <c r="C123" s="3"/>
      <c r="D123" s="3"/>
      <c r="E123" s="3"/>
      <c r="F123" s="3"/>
      <c r="G123" s="16"/>
      <c r="H123" s="3"/>
      <c r="I123" s="3"/>
    </row>
    <row r="124" spans="1:20" s="3" customFormat="1" x14ac:dyDescent="0.25">
      <c r="A124"/>
      <c r="B124"/>
      <c r="C124"/>
      <c r="D124"/>
      <c r="E124"/>
      <c r="F124"/>
      <c r="G124" s="17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1:20" x14ac:dyDescent="0.25">
      <c r="A125" s="3"/>
      <c r="B125" s="3"/>
      <c r="C125" s="3"/>
      <c r="D125" s="3"/>
      <c r="E125" s="3"/>
      <c r="F125" s="3"/>
      <c r="G125" s="16"/>
      <c r="H125" s="3"/>
      <c r="I125" s="3"/>
    </row>
    <row r="126" spans="1:20" s="3" customFormat="1" x14ac:dyDescent="0.25">
      <c r="A126"/>
      <c r="B126"/>
      <c r="C126"/>
      <c r="D126"/>
      <c r="E126"/>
      <c r="F126"/>
      <c r="G126" s="17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1:20" x14ac:dyDescent="0.25">
      <c r="A127" s="3"/>
      <c r="B127" s="3"/>
      <c r="C127" s="3"/>
      <c r="D127" s="3"/>
      <c r="E127" s="3"/>
      <c r="F127" s="3"/>
      <c r="G127" s="16"/>
      <c r="H127" s="3"/>
      <c r="I127" s="3"/>
    </row>
    <row r="128" spans="1:20" s="3" customFormat="1" x14ac:dyDescent="0.25">
      <c r="A128"/>
      <c r="B128"/>
      <c r="C128"/>
      <c r="D128"/>
      <c r="E128"/>
      <c r="F128"/>
      <c r="G128" s="17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1:20" x14ac:dyDescent="0.25">
      <c r="A129" s="3"/>
      <c r="B129" s="3"/>
      <c r="C129" s="3"/>
      <c r="D129" s="3"/>
      <c r="E129" s="3"/>
      <c r="F129" s="3"/>
      <c r="G129" s="16"/>
      <c r="H129" s="3"/>
      <c r="I129" s="3"/>
    </row>
    <row r="130" spans="1:20" s="3" customFormat="1" x14ac:dyDescent="0.25">
      <c r="A130"/>
      <c r="B130"/>
      <c r="C130"/>
      <c r="D130"/>
      <c r="E130"/>
      <c r="F130"/>
      <c r="G130" s="17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1:20" x14ac:dyDescent="0.25">
      <c r="A131" s="3"/>
      <c r="B131" s="3"/>
      <c r="C131" s="3"/>
      <c r="D131" s="3"/>
      <c r="E131" s="3"/>
      <c r="F131" s="3"/>
      <c r="G131" s="16"/>
      <c r="H131" s="3"/>
      <c r="I131" s="3"/>
    </row>
    <row r="132" spans="1:20" s="3" customFormat="1" x14ac:dyDescent="0.25">
      <c r="A132"/>
      <c r="B132"/>
      <c r="C132"/>
      <c r="D132"/>
      <c r="E132"/>
      <c r="F132"/>
      <c r="G132" s="17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1:20" x14ac:dyDescent="0.25">
      <c r="A133" s="3"/>
      <c r="B133" s="3"/>
      <c r="C133" s="3"/>
      <c r="D133" s="3"/>
      <c r="E133" s="3"/>
      <c r="F133" s="3"/>
      <c r="G133" s="16"/>
      <c r="H133" s="3"/>
      <c r="I133" s="3"/>
    </row>
    <row r="134" spans="1:20" s="3" customFormat="1" x14ac:dyDescent="0.25">
      <c r="A134"/>
      <c r="B134"/>
      <c r="C134"/>
      <c r="D134"/>
      <c r="E134"/>
      <c r="F134"/>
      <c r="G134" s="17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1:20" x14ac:dyDescent="0.25">
      <c r="A135" s="3"/>
      <c r="B135" s="3"/>
      <c r="C135" s="3"/>
      <c r="D135" s="3"/>
      <c r="E135" s="3"/>
      <c r="F135" s="3"/>
      <c r="G135" s="16"/>
      <c r="H135" s="3"/>
      <c r="I135" s="3"/>
    </row>
    <row r="136" spans="1:20" s="3" customFormat="1" x14ac:dyDescent="0.25">
      <c r="A136"/>
      <c r="B136"/>
      <c r="C136"/>
      <c r="D136"/>
      <c r="E136"/>
      <c r="F136"/>
      <c r="G136" s="17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 x14ac:dyDescent="0.25">
      <c r="A137" s="3"/>
      <c r="B137" s="3"/>
      <c r="C137" s="3"/>
      <c r="D137" s="3"/>
      <c r="E137" s="3"/>
      <c r="F137" s="3"/>
      <c r="G137" s="16"/>
      <c r="H137" s="3"/>
      <c r="I137" s="3"/>
    </row>
    <row r="138" spans="1:20" s="3" customFormat="1" x14ac:dyDescent="0.25">
      <c r="A138"/>
      <c r="B138"/>
      <c r="C138"/>
      <c r="D138"/>
      <c r="E138"/>
      <c r="F138"/>
      <c r="G138" s="17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x14ac:dyDescent="0.25">
      <c r="A139" s="3"/>
      <c r="B139" s="3"/>
      <c r="C139" s="3"/>
      <c r="D139" s="3"/>
      <c r="E139" s="3"/>
      <c r="F139" s="3"/>
      <c r="G139" s="16"/>
      <c r="H139" s="3"/>
      <c r="I139" s="3"/>
    </row>
    <row r="140" spans="1:20" s="3" customFormat="1" x14ac:dyDescent="0.25">
      <c r="A140"/>
      <c r="B140"/>
      <c r="C140"/>
      <c r="D140"/>
      <c r="E140"/>
      <c r="F140"/>
      <c r="G140" s="17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x14ac:dyDescent="0.25">
      <c r="A141" s="3"/>
      <c r="B141" s="3"/>
      <c r="C141" s="3"/>
      <c r="D141" s="3"/>
      <c r="E141" s="3"/>
      <c r="F141" s="3"/>
      <c r="G141" s="16"/>
      <c r="H141" s="3"/>
      <c r="I141" s="3"/>
    </row>
    <row r="142" spans="1:20" s="3" customFormat="1" x14ac:dyDescent="0.25">
      <c r="A142"/>
      <c r="B142"/>
      <c r="C142"/>
      <c r="D142"/>
      <c r="E142"/>
      <c r="F142"/>
      <c r="G142" s="17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1:20" x14ac:dyDescent="0.25">
      <c r="A143" s="3"/>
      <c r="B143" s="3"/>
      <c r="C143" s="3"/>
      <c r="D143" s="3"/>
      <c r="E143" s="3"/>
      <c r="F143" s="3"/>
      <c r="G143" s="16"/>
      <c r="H143" s="3"/>
      <c r="I143" s="3"/>
    </row>
    <row r="144" spans="1:20" s="3" customFormat="1" x14ac:dyDescent="0.25">
      <c r="A144"/>
      <c r="B144"/>
      <c r="C144"/>
      <c r="D144"/>
      <c r="E144"/>
      <c r="F144"/>
      <c r="G144" s="17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1:20" x14ac:dyDescent="0.25">
      <c r="A145" s="3"/>
      <c r="B145" s="3"/>
      <c r="C145" s="3"/>
      <c r="D145" s="3"/>
      <c r="E145" s="3"/>
      <c r="F145" s="3"/>
      <c r="G145" s="16"/>
      <c r="H145" s="3"/>
      <c r="I145" s="3"/>
    </row>
    <row r="146" spans="1:20" s="3" customFormat="1" x14ac:dyDescent="0.25">
      <c r="A146"/>
      <c r="B146"/>
      <c r="C146"/>
      <c r="D146"/>
      <c r="E146"/>
      <c r="F146"/>
      <c r="G146" s="17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1:20" x14ac:dyDescent="0.25">
      <c r="A147" s="3"/>
      <c r="B147" s="3"/>
      <c r="C147" s="3"/>
      <c r="D147" s="3"/>
      <c r="E147" s="3"/>
      <c r="F147" s="3"/>
      <c r="G147" s="16"/>
      <c r="H147" s="3"/>
      <c r="I147" s="3"/>
    </row>
    <row r="148" spans="1:20" s="3" customFormat="1" x14ac:dyDescent="0.25">
      <c r="A148"/>
      <c r="B148"/>
      <c r="C148"/>
      <c r="D148"/>
      <c r="E148"/>
      <c r="F148"/>
      <c r="G148" s="17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1:20" x14ac:dyDescent="0.25">
      <c r="A149" s="3"/>
      <c r="B149" s="3"/>
      <c r="C149" s="3"/>
      <c r="D149" s="3"/>
      <c r="E149" s="3"/>
      <c r="F149" s="3"/>
      <c r="G149" s="16"/>
      <c r="H149" s="3"/>
      <c r="I149" s="3"/>
    </row>
    <row r="150" spans="1:20" s="3" customFormat="1" x14ac:dyDescent="0.25">
      <c r="A150"/>
      <c r="B150"/>
      <c r="C150"/>
      <c r="D150"/>
      <c r="E150"/>
      <c r="F150"/>
      <c r="G150" s="17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1:20" x14ac:dyDescent="0.25">
      <c r="A151" s="3"/>
      <c r="B151" s="3"/>
      <c r="C151" s="3"/>
      <c r="D151" s="3"/>
      <c r="E151" s="3"/>
      <c r="F151" s="3"/>
      <c r="G151" s="16"/>
      <c r="H151" s="3"/>
      <c r="I151" s="3"/>
    </row>
    <row r="152" spans="1:20" s="3" customFormat="1" x14ac:dyDescent="0.25">
      <c r="A152"/>
      <c r="B152"/>
      <c r="C152"/>
      <c r="D152"/>
      <c r="E152"/>
      <c r="F152"/>
      <c r="G152" s="17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1:20" x14ac:dyDescent="0.25">
      <c r="A153" s="3"/>
      <c r="B153" s="3"/>
      <c r="C153" s="3"/>
      <c r="D153" s="3"/>
      <c r="E153" s="3"/>
      <c r="F153" s="3"/>
      <c r="G153" s="16"/>
      <c r="H153" s="3"/>
      <c r="I153" s="3"/>
    </row>
    <row r="154" spans="1:20" s="3" customFormat="1" x14ac:dyDescent="0.25">
      <c r="A154"/>
      <c r="B154"/>
      <c r="C154"/>
      <c r="D154"/>
      <c r="E154"/>
      <c r="F154"/>
      <c r="G154" s="17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0" x14ac:dyDescent="0.25">
      <c r="A155" s="3"/>
      <c r="B155" s="3"/>
      <c r="C155" s="3"/>
      <c r="D155" s="3"/>
      <c r="E155" s="3"/>
      <c r="F155" s="3"/>
      <c r="G155" s="16"/>
      <c r="H155" s="3"/>
      <c r="I155" s="3"/>
    </row>
    <row r="156" spans="1:20" s="3" customFormat="1" x14ac:dyDescent="0.25">
      <c r="A156"/>
      <c r="B156"/>
      <c r="C156"/>
      <c r="D156"/>
      <c r="E156"/>
      <c r="F156"/>
      <c r="G156" s="17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0" x14ac:dyDescent="0.25">
      <c r="A157" s="3"/>
      <c r="B157" s="3"/>
      <c r="C157" s="3"/>
      <c r="D157" s="3"/>
      <c r="E157" s="3"/>
      <c r="F157" s="3"/>
      <c r="G157" s="16"/>
      <c r="H157" s="3"/>
      <c r="I157" s="3"/>
    </row>
    <row r="158" spans="1:20" s="3" customFormat="1" x14ac:dyDescent="0.25">
      <c r="A158"/>
      <c r="B158"/>
      <c r="C158"/>
      <c r="D158"/>
      <c r="E158"/>
      <c r="F158"/>
      <c r="G158" s="17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0" x14ac:dyDescent="0.25">
      <c r="A159" s="3"/>
      <c r="B159" s="3"/>
      <c r="C159" s="3"/>
      <c r="D159" s="3"/>
      <c r="E159" s="3"/>
      <c r="F159" s="3"/>
      <c r="G159" s="16"/>
      <c r="H159" s="3"/>
      <c r="I159" s="3"/>
    </row>
    <row r="160" spans="1:20" s="3" customFormat="1" x14ac:dyDescent="0.25">
      <c r="A160"/>
      <c r="B160"/>
      <c r="C160"/>
      <c r="D160"/>
      <c r="E160"/>
      <c r="F160"/>
      <c r="G160" s="17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x14ac:dyDescent="0.25">
      <c r="A161" s="3"/>
      <c r="B161" s="3"/>
      <c r="C161" s="3"/>
      <c r="D161" s="3"/>
      <c r="E161" s="3"/>
      <c r="F161" s="3"/>
      <c r="G161" s="16"/>
      <c r="H161" s="3"/>
      <c r="I161" s="3"/>
    </row>
    <row r="162" spans="1:20" s="3" customFormat="1" x14ac:dyDescent="0.25">
      <c r="A162"/>
      <c r="B162"/>
      <c r="C162"/>
      <c r="D162"/>
      <c r="E162"/>
      <c r="F162"/>
      <c r="G162" s="17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x14ac:dyDescent="0.25">
      <c r="A163" s="3"/>
      <c r="B163" s="3"/>
      <c r="C163" s="3"/>
      <c r="D163" s="3"/>
      <c r="E163" s="3"/>
      <c r="F163" s="3"/>
      <c r="G163" s="16"/>
      <c r="H163" s="3"/>
      <c r="I163" s="3"/>
    </row>
    <row r="164" spans="1:20" s="3" customFormat="1" x14ac:dyDescent="0.25">
      <c r="A164"/>
      <c r="B164"/>
      <c r="C164"/>
      <c r="D164"/>
      <c r="E164"/>
      <c r="F164"/>
      <c r="G164" s="17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x14ac:dyDescent="0.25">
      <c r="A165" s="3"/>
      <c r="B165" s="3"/>
      <c r="C165" s="3"/>
      <c r="D165" s="3"/>
      <c r="E165" s="3"/>
      <c r="F165" s="3"/>
      <c r="G165" s="16"/>
      <c r="H165" s="3"/>
      <c r="I165" s="3"/>
    </row>
    <row r="166" spans="1:20" s="3" customFormat="1" x14ac:dyDescent="0.25">
      <c r="A166"/>
      <c r="B166"/>
      <c r="C166"/>
      <c r="D166"/>
      <c r="E166"/>
      <c r="F166"/>
      <c r="G166" s="17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x14ac:dyDescent="0.25">
      <c r="A167" s="3"/>
      <c r="B167" s="3"/>
      <c r="C167" s="3"/>
      <c r="D167" s="3"/>
      <c r="E167" s="3"/>
      <c r="F167" s="3"/>
      <c r="G167" s="16"/>
      <c r="H167" s="3"/>
      <c r="I167" s="3"/>
    </row>
    <row r="168" spans="1:20" s="3" customFormat="1" x14ac:dyDescent="0.25">
      <c r="A168"/>
      <c r="B168"/>
      <c r="C168"/>
      <c r="D168"/>
      <c r="E168"/>
      <c r="F168"/>
      <c r="G168" s="17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x14ac:dyDescent="0.25">
      <c r="A169" s="3"/>
      <c r="B169" s="3"/>
      <c r="C169" s="3"/>
      <c r="D169" s="3"/>
      <c r="E169" s="3"/>
      <c r="F169" s="3"/>
      <c r="G169" s="16"/>
      <c r="H169" s="3"/>
      <c r="I169" s="3"/>
    </row>
    <row r="170" spans="1:20" s="3" customFormat="1" x14ac:dyDescent="0.25">
      <c r="A170"/>
      <c r="B170"/>
      <c r="C170"/>
      <c r="D170"/>
      <c r="E170"/>
      <c r="F170"/>
      <c r="G170" s="17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x14ac:dyDescent="0.25">
      <c r="A171" s="3"/>
      <c r="B171" s="3"/>
      <c r="C171" s="3"/>
      <c r="D171" s="3"/>
      <c r="E171" s="3"/>
      <c r="F171" s="3"/>
      <c r="G171" s="16"/>
      <c r="H171" s="3"/>
      <c r="I171" s="3"/>
    </row>
    <row r="172" spans="1:20" s="3" customFormat="1" x14ac:dyDescent="0.25">
      <c r="A172"/>
      <c r="B172"/>
      <c r="C172"/>
      <c r="D172"/>
      <c r="E172"/>
      <c r="F172"/>
      <c r="G172" s="17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x14ac:dyDescent="0.25">
      <c r="A173" s="3"/>
      <c r="B173" s="3"/>
      <c r="C173" s="3"/>
      <c r="D173" s="3"/>
      <c r="E173" s="3"/>
      <c r="F173" s="3"/>
      <c r="G173" s="16"/>
      <c r="H173" s="3"/>
      <c r="I173" s="3"/>
    </row>
    <row r="174" spans="1:20" s="3" customFormat="1" x14ac:dyDescent="0.25">
      <c r="A174"/>
      <c r="B174"/>
      <c r="C174"/>
      <c r="D174"/>
      <c r="E174"/>
      <c r="F174"/>
      <c r="G174" s="17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x14ac:dyDescent="0.25">
      <c r="A175" s="3"/>
      <c r="B175" s="3"/>
      <c r="C175" s="3"/>
      <c r="D175" s="3"/>
      <c r="E175" s="3"/>
      <c r="F175" s="3"/>
      <c r="G175" s="16"/>
      <c r="H175" s="3"/>
      <c r="I175" s="3"/>
    </row>
    <row r="176" spans="1:20" s="3" customFormat="1" x14ac:dyDescent="0.25">
      <c r="A176"/>
      <c r="B176"/>
      <c r="C176"/>
      <c r="D176"/>
      <c r="E176"/>
      <c r="F176"/>
      <c r="G176" s="17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25">
      <c r="A177" s="3"/>
      <c r="B177" s="3"/>
      <c r="C177" s="3"/>
      <c r="D177" s="3"/>
      <c r="E177" s="3"/>
      <c r="F177" s="3"/>
      <c r="G177" s="16"/>
      <c r="H177" s="3"/>
      <c r="I177" s="3"/>
    </row>
    <row r="178" spans="1:20" s="3" customFormat="1" x14ac:dyDescent="0.25">
      <c r="A178"/>
      <c r="B178"/>
      <c r="C178"/>
      <c r="D178"/>
      <c r="E178"/>
      <c r="F178"/>
      <c r="G178" s="17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25">
      <c r="A179" s="3"/>
      <c r="B179" s="3"/>
      <c r="C179" s="3"/>
      <c r="D179" s="3"/>
      <c r="E179" s="3"/>
      <c r="F179" s="3"/>
      <c r="G179" s="16"/>
      <c r="H179" s="3"/>
      <c r="I179" s="3"/>
    </row>
    <row r="180" spans="1:20" s="3" customFormat="1" x14ac:dyDescent="0.25">
      <c r="A180"/>
      <c r="B180"/>
      <c r="C180"/>
      <c r="D180"/>
      <c r="E180"/>
      <c r="F180"/>
      <c r="G180" s="17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25">
      <c r="A181" s="3"/>
      <c r="B181" s="3"/>
      <c r="C181" s="3"/>
      <c r="D181" s="3"/>
      <c r="E181" s="3"/>
      <c r="F181" s="3"/>
      <c r="G181" s="16"/>
      <c r="H181" s="3"/>
      <c r="I181" s="3"/>
    </row>
    <row r="182" spans="1:20" s="3" customFormat="1" x14ac:dyDescent="0.25">
      <c r="A182"/>
      <c r="B182"/>
      <c r="C182"/>
      <c r="D182"/>
      <c r="E182"/>
      <c r="F182"/>
      <c r="G182" s="17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25">
      <c r="A183" s="3"/>
      <c r="B183" s="3"/>
      <c r="C183" s="3"/>
      <c r="D183" s="3"/>
      <c r="E183" s="3"/>
      <c r="F183" s="3"/>
      <c r="G183" s="16"/>
      <c r="H183" s="3"/>
      <c r="I183" s="3"/>
    </row>
    <row r="184" spans="1:20" s="3" customFormat="1" x14ac:dyDescent="0.25">
      <c r="A184"/>
      <c r="B184"/>
      <c r="C184"/>
      <c r="D184"/>
      <c r="E184"/>
      <c r="F184"/>
      <c r="G184" s="17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ht="15" customHeight="1" x14ac:dyDescent="0.25">
      <c r="A185" s="3"/>
      <c r="B185" s="3"/>
      <c r="C185" s="3"/>
      <c r="D185" s="3"/>
      <c r="E185" s="3"/>
      <c r="F185" s="3"/>
      <c r="G185" s="16"/>
      <c r="H185" s="3"/>
      <c r="I185" s="3"/>
    </row>
    <row r="186" spans="1:20" s="3" customFormat="1" x14ac:dyDescent="0.25">
      <c r="A186"/>
      <c r="B186"/>
      <c r="C186"/>
      <c r="D186"/>
      <c r="E186"/>
      <c r="F186"/>
      <c r="G186" s="17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25">
      <c r="A187" s="3"/>
      <c r="B187" s="3"/>
      <c r="C187" s="3"/>
      <c r="D187" s="3"/>
      <c r="E187" s="3"/>
      <c r="F187" s="3"/>
      <c r="G187" s="16"/>
      <c r="H187" s="3"/>
      <c r="I187" s="3"/>
    </row>
    <row r="188" spans="1:20" s="3" customFormat="1" x14ac:dyDescent="0.25">
      <c r="A188"/>
      <c r="B188"/>
      <c r="C188"/>
      <c r="D188"/>
      <c r="E188"/>
      <c r="F188"/>
      <c r="G188" s="17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25">
      <c r="A189" s="3"/>
      <c r="B189" s="3"/>
      <c r="C189" s="3"/>
      <c r="D189" s="3"/>
      <c r="E189" s="3"/>
      <c r="F189" s="3"/>
      <c r="G189" s="16"/>
      <c r="H189" s="3"/>
      <c r="I189" s="3"/>
    </row>
    <row r="190" spans="1:20" s="3" customFormat="1" x14ac:dyDescent="0.25">
      <c r="A190"/>
      <c r="B190"/>
      <c r="C190"/>
      <c r="D190"/>
      <c r="E190"/>
      <c r="F190"/>
      <c r="G190" s="17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25">
      <c r="A191" s="3"/>
      <c r="B191" s="3"/>
      <c r="C191" s="3"/>
      <c r="D191" s="3"/>
      <c r="E191" s="3"/>
      <c r="F191" s="3"/>
      <c r="G191" s="16"/>
      <c r="H191" s="3"/>
      <c r="I191" s="3"/>
    </row>
    <row r="192" spans="1:20" s="3" customFormat="1" x14ac:dyDescent="0.25">
      <c r="A192"/>
      <c r="B192"/>
      <c r="C192"/>
      <c r="D192"/>
      <c r="E192"/>
      <c r="F192"/>
      <c r="G192" s="17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25">
      <c r="A193" s="3"/>
      <c r="B193" s="3"/>
      <c r="C193" s="3"/>
      <c r="D193" s="3"/>
      <c r="E193" s="3"/>
      <c r="F193" s="3"/>
      <c r="G193" s="16"/>
      <c r="H193" s="3"/>
      <c r="I193" s="3"/>
    </row>
    <row r="194" spans="1:20" s="3" customFormat="1" x14ac:dyDescent="0.25">
      <c r="A194"/>
      <c r="B194"/>
      <c r="C194"/>
      <c r="D194"/>
      <c r="E194"/>
      <c r="F194"/>
      <c r="G194" s="17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25">
      <c r="A195" s="3"/>
      <c r="B195" s="3"/>
      <c r="C195" s="3"/>
      <c r="D195" s="3"/>
      <c r="E195" s="3"/>
      <c r="F195" s="3"/>
      <c r="G195" s="16"/>
      <c r="H195" s="3"/>
      <c r="I195" s="3"/>
    </row>
    <row r="196" spans="1:20" s="3" customFormat="1" x14ac:dyDescent="0.25">
      <c r="A196"/>
      <c r="B196"/>
      <c r="C196"/>
      <c r="D196"/>
      <c r="E196"/>
      <c r="F196"/>
      <c r="G196" s="17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25">
      <c r="A197" s="3"/>
      <c r="B197" s="3"/>
      <c r="C197" s="3"/>
      <c r="D197" s="3"/>
      <c r="E197" s="3"/>
      <c r="F197" s="3"/>
      <c r="G197" s="16"/>
      <c r="H197" s="3"/>
      <c r="I197" s="3"/>
    </row>
    <row r="198" spans="1:20" s="3" customFormat="1" x14ac:dyDescent="0.25">
      <c r="A198"/>
      <c r="B198"/>
      <c r="C198"/>
      <c r="D198"/>
      <c r="E198"/>
      <c r="F198"/>
      <c r="G198" s="17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25">
      <c r="A199" s="3"/>
      <c r="B199" s="3"/>
      <c r="C199" s="3"/>
      <c r="D199" s="3"/>
      <c r="E199" s="3"/>
      <c r="F199" s="3"/>
      <c r="G199" s="16"/>
      <c r="H199" s="3"/>
      <c r="I199" s="3"/>
    </row>
    <row r="200" spans="1:20" s="3" customFormat="1" x14ac:dyDescent="0.25">
      <c r="A200"/>
      <c r="B200"/>
      <c r="C200"/>
      <c r="D200"/>
      <c r="E200"/>
      <c r="F200"/>
      <c r="G200" s="17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25">
      <c r="A201" s="3"/>
      <c r="B201" s="3"/>
      <c r="C201" s="3"/>
      <c r="D201" s="3"/>
      <c r="E201" s="3"/>
      <c r="F201" s="3"/>
      <c r="G201" s="16"/>
      <c r="H201" s="3"/>
      <c r="I201" s="3"/>
    </row>
    <row r="202" spans="1:20" s="3" customFormat="1" x14ac:dyDescent="0.25">
      <c r="A202"/>
      <c r="B202"/>
      <c r="C202"/>
      <c r="D202"/>
      <c r="E202"/>
      <c r="F202"/>
      <c r="G202" s="17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25">
      <c r="A203" s="3"/>
      <c r="B203" s="3"/>
      <c r="C203" s="3"/>
      <c r="D203" s="3"/>
      <c r="E203" s="3"/>
      <c r="F203" s="3"/>
      <c r="G203" s="16"/>
      <c r="H203" s="3"/>
      <c r="I203" s="3"/>
    </row>
    <row r="204" spans="1:20" s="3" customFormat="1" x14ac:dyDescent="0.25">
      <c r="A204"/>
      <c r="B204"/>
      <c r="C204"/>
      <c r="D204"/>
      <c r="E204"/>
      <c r="F204"/>
      <c r="G204" s="17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25">
      <c r="A205" s="3"/>
      <c r="B205" s="3"/>
      <c r="C205" s="3"/>
      <c r="D205" s="3"/>
      <c r="E205" s="3"/>
      <c r="F205" s="3"/>
      <c r="G205" s="16"/>
      <c r="H205" s="3"/>
      <c r="I205" s="3"/>
    </row>
    <row r="206" spans="1:20" s="3" customFormat="1" x14ac:dyDescent="0.25">
      <c r="A206"/>
      <c r="B206"/>
      <c r="C206"/>
      <c r="D206"/>
      <c r="E206"/>
      <c r="F206"/>
      <c r="G206" s="17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x14ac:dyDescent="0.25">
      <c r="A207" s="3"/>
      <c r="B207" s="3"/>
      <c r="C207" s="3"/>
      <c r="D207" s="3"/>
      <c r="E207" s="3"/>
      <c r="F207" s="3"/>
      <c r="G207" s="16"/>
      <c r="H207" s="3"/>
      <c r="I207" s="3"/>
    </row>
    <row r="208" spans="1:20" s="3" customFormat="1" x14ac:dyDescent="0.25">
      <c r="A208"/>
      <c r="B208"/>
      <c r="C208"/>
      <c r="D208"/>
      <c r="E208"/>
      <c r="F208"/>
      <c r="G208" s="17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x14ac:dyDescent="0.25">
      <c r="A209" s="3"/>
      <c r="B209" s="3"/>
      <c r="C209" s="3"/>
      <c r="D209" s="3"/>
      <c r="E209" s="3"/>
      <c r="F209" s="3"/>
      <c r="G209" s="16"/>
      <c r="H209" s="3"/>
      <c r="I209" s="3"/>
    </row>
    <row r="210" spans="1:20" s="3" customFormat="1" x14ac:dyDescent="0.25">
      <c r="A210"/>
      <c r="B210"/>
      <c r="C210"/>
      <c r="D210"/>
      <c r="E210"/>
      <c r="F210"/>
      <c r="G210" s="17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x14ac:dyDescent="0.25">
      <c r="A211" s="3"/>
      <c r="B211" s="3"/>
      <c r="C211" s="3"/>
      <c r="D211" s="3"/>
      <c r="E211" s="3"/>
      <c r="F211" s="3"/>
      <c r="G211" s="16"/>
      <c r="H211" s="3"/>
      <c r="I211" s="3"/>
    </row>
    <row r="212" spans="1:20" s="3" customFormat="1" x14ac:dyDescent="0.25">
      <c r="A212"/>
      <c r="B212"/>
      <c r="C212"/>
      <c r="D212"/>
      <c r="E212"/>
      <c r="F212"/>
      <c r="G212" s="17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x14ac:dyDescent="0.25">
      <c r="A213" s="3"/>
      <c r="B213" s="3"/>
      <c r="C213" s="3"/>
      <c r="D213" s="3"/>
      <c r="E213" s="3"/>
      <c r="F213" s="3"/>
      <c r="G213" s="16"/>
      <c r="H213" s="3"/>
      <c r="I213" s="3"/>
    </row>
    <row r="214" spans="1:20" s="3" customFormat="1" x14ac:dyDescent="0.25">
      <c r="A214"/>
      <c r="B214"/>
      <c r="C214"/>
      <c r="D214"/>
      <c r="E214"/>
      <c r="F214"/>
      <c r="G214" s="17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x14ac:dyDescent="0.25">
      <c r="A215" s="3"/>
      <c r="B215" s="3"/>
      <c r="C215" s="3"/>
      <c r="D215" s="3"/>
      <c r="E215" s="3"/>
      <c r="F215" s="3"/>
      <c r="G215" s="16"/>
      <c r="H215" s="3"/>
      <c r="I215" s="3"/>
    </row>
    <row r="216" spans="1:20" s="3" customFormat="1" x14ac:dyDescent="0.25">
      <c r="A216"/>
      <c r="B216"/>
      <c r="C216"/>
      <c r="D216"/>
      <c r="E216"/>
      <c r="F216"/>
      <c r="G216" s="17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x14ac:dyDescent="0.25">
      <c r="A217" s="3"/>
      <c r="B217" s="3"/>
      <c r="C217" s="3"/>
      <c r="D217" s="3"/>
      <c r="E217" s="3"/>
      <c r="F217" s="3"/>
      <c r="G217" s="16"/>
      <c r="H217" s="3"/>
      <c r="I217" s="3"/>
    </row>
    <row r="218" spans="1:20" s="3" customFormat="1" x14ac:dyDescent="0.25">
      <c r="A218"/>
      <c r="B218"/>
      <c r="C218"/>
      <c r="D218"/>
      <c r="E218"/>
      <c r="F218"/>
      <c r="G218" s="17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x14ac:dyDescent="0.25">
      <c r="A219" s="3"/>
      <c r="B219" s="3"/>
      <c r="C219" s="3"/>
      <c r="D219" s="3"/>
      <c r="E219" s="3"/>
      <c r="F219" s="3"/>
      <c r="G219" s="16"/>
      <c r="H219" s="3"/>
      <c r="I219" s="3"/>
    </row>
    <row r="220" spans="1:20" s="3" customFormat="1" x14ac:dyDescent="0.25">
      <c r="A220"/>
      <c r="B220"/>
      <c r="C220"/>
      <c r="D220"/>
      <c r="E220"/>
      <c r="F220"/>
      <c r="G220" s="17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x14ac:dyDescent="0.25">
      <c r="A221" s="3"/>
      <c r="B221" s="3"/>
      <c r="C221" s="3"/>
      <c r="D221" s="3"/>
      <c r="E221" s="3"/>
      <c r="F221" s="3"/>
      <c r="G221" s="16"/>
      <c r="H221" s="3"/>
      <c r="I221" s="3"/>
    </row>
    <row r="222" spans="1:20" s="3" customFormat="1" x14ac:dyDescent="0.25">
      <c r="A222"/>
      <c r="B222"/>
      <c r="C222"/>
      <c r="D222"/>
      <c r="E222"/>
      <c r="F222"/>
      <c r="G222" s="17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x14ac:dyDescent="0.25">
      <c r="A223" s="3"/>
      <c r="B223" s="3"/>
      <c r="C223" s="3"/>
      <c r="D223" s="3"/>
      <c r="E223" s="3"/>
      <c r="F223" s="3"/>
      <c r="G223" s="16"/>
      <c r="H223" s="3"/>
      <c r="I223" s="3"/>
    </row>
    <row r="224" spans="1:20" s="3" customFormat="1" x14ac:dyDescent="0.25">
      <c r="A224"/>
      <c r="B224"/>
      <c r="C224"/>
      <c r="D224"/>
      <c r="E224"/>
      <c r="F224"/>
      <c r="G224" s="17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x14ac:dyDescent="0.25">
      <c r="A225" s="3"/>
      <c r="B225" s="3"/>
      <c r="C225" s="3"/>
      <c r="D225" s="3"/>
      <c r="E225" s="3"/>
      <c r="F225" s="3"/>
      <c r="G225" s="16"/>
      <c r="H225" s="3"/>
      <c r="I225" s="3"/>
    </row>
    <row r="226" spans="1:20" s="3" customFormat="1" x14ac:dyDescent="0.25">
      <c r="A226"/>
      <c r="B226"/>
      <c r="C226"/>
      <c r="D226"/>
      <c r="E226"/>
      <c r="F226"/>
      <c r="G226" s="17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x14ac:dyDescent="0.25">
      <c r="A227" s="3"/>
      <c r="B227" s="3"/>
      <c r="C227" s="3"/>
      <c r="D227" s="3"/>
      <c r="E227" s="3"/>
      <c r="F227" s="3"/>
      <c r="G227" s="16"/>
      <c r="H227" s="3"/>
      <c r="I227" s="3"/>
    </row>
    <row r="228" spans="1:20" s="3" customFormat="1" x14ac:dyDescent="0.25">
      <c r="A228"/>
      <c r="B228"/>
      <c r="C228"/>
      <c r="D228"/>
      <c r="E228"/>
      <c r="F228"/>
      <c r="G228" s="17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x14ac:dyDescent="0.25">
      <c r="A229" s="3"/>
      <c r="B229" s="3"/>
      <c r="C229" s="3"/>
      <c r="D229" s="3"/>
      <c r="E229" s="3"/>
      <c r="F229" s="3"/>
      <c r="G229" s="16"/>
      <c r="H229" s="3"/>
      <c r="I229" s="3"/>
    </row>
    <row r="230" spans="1:20" s="3" customFormat="1" x14ac:dyDescent="0.25">
      <c r="A230"/>
      <c r="B230"/>
      <c r="C230"/>
      <c r="D230"/>
      <c r="E230"/>
      <c r="F230"/>
      <c r="G230" s="17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x14ac:dyDescent="0.25">
      <c r="A231" s="3"/>
      <c r="B231" s="3"/>
      <c r="C231" s="3"/>
      <c r="D231" s="3"/>
      <c r="E231" s="3"/>
      <c r="F231" s="3"/>
      <c r="G231" s="16"/>
      <c r="H231" s="3"/>
      <c r="I231" s="3"/>
    </row>
    <row r="232" spans="1:20" s="3" customFormat="1" x14ac:dyDescent="0.25">
      <c r="A232"/>
      <c r="B232"/>
      <c r="C232"/>
      <c r="D232"/>
      <c r="E232"/>
      <c r="F232"/>
      <c r="G232" s="17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x14ac:dyDescent="0.25">
      <c r="A233" s="3"/>
      <c r="B233" s="3"/>
      <c r="C233" s="3"/>
      <c r="D233" s="3"/>
      <c r="E233" s="3"/>
      <c r="F233" s="3"/>
      <c r="G233" s="16"/>
      <c r="H233" s="3"/>
      <c r="I233" s="3"/>
    </row>
    <row r="234" spans="1:20" s="3" customFormat="1" x14ac:dyDescent="0.25">
      <c r="A234"/>
      <c r="B234"/>
      <c r="C234"/>
      <c r="D234"/>
      <c r="E234"/>
      <c r="F234"/>
      <c r="G234" s="17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6" spans="1:20" s="3" customFormat="1" x14ac:dyDescent="0.25">
      <c r="A236"/>
      <c r="B236"/>
      <c r="C236"/>
      <c r="D236"/>
      <c r="E236"/>
      <c r="F236"/>
      <c r="G236" s="17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8" spans="1:20" s="3" customFormat="1" x14ac:dyDescent="0.25">
      <c r="A238"/>
      <c r="B238"/>
      <c r="C238"/>
      <c r="D238"/>
      <c r="E238"/>
      <c r="F238"/>
      <c r="G238" s="17"/>
      <c r="H238"/>
      <c r="I238"/>
      <c r="J238"/>
      <c r="K238"/>
      <c r="L238"/>
      <c r="M238"/>
      <c r="N238"/>
      <c r="O238"/>
      <c r="P238"/>
      <c r="Q238"/>
      <c r="R238"/>
      <c r="S238"/>
      <c r="T23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RESULTS_total</vt:lpstr>
      <vt:lpstr>EXAM 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Leyser</dc:creator>
  <cp:keywords/>
  <dc:description/>
  <cp:lastModifiedBy>Erik Öberg</cp:lastModifiedBy>
  <cp:revision/>
  <dcterms:created xsi:type="dcterms:W3CDTF">2019-04-15T07:00:25Z</dcterms:created>
  <dcterms:modified xsi:type="dcterms:W3CDTF">2026-06-15T06:28:59Z</dcterms:modified>
  <cp:category/>
  <cp:contentStatus/>
</cp:coreProperties>
</file>