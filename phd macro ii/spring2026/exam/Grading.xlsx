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riob421\Documents\GitHub\teaching_private\phd macro ii\spring2026\exam\"/>
    </mc:Choice>
  </mc:AlternateContent>
  <xr:revisionPtr revIDLastSave="0" documentId="13_ncr:1_{9E360CCA-0126-4F46-870D-BBF24CAC85FE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RESULTS_June2025" sheetId="4" r:id="rId1"/>
    <sheet name="EXAM points" sheetId="5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5" l="1"/>
  <c r="G15" i="5" s="1"/>
  <c r="E18" i="5"/>
  <c r="E19" i="5" s="1"/>
  <c r="D18" i="5"/>
  <c r="D19" i="5" s="1"/>
  <c r="C18" i="5"/>
  <c r="C19" i="5" s="1"/>
  <c r="B18" i="5"/>
  <c r="B19" i="5" s="1"/>
  <c r="F16" i="5"/>
  <c r="G16" i="5" s="1"/>
  <c r="F14" i="5"/>
  <c r="H14" i="5" s="1"/>
  <c r="F13" i="5"/>
  <c r="H13" i="5" s="1"/>
  <c r="F12" i="5"/>
  <c r="G12" i="5" s="1"/>
  <c r="F11" i="5"/>
  <c r="H11" i="5" s="1"/>
  <c r="F10" i="5"/>
  <c r="H10" i="5" s="1"/>
  <c r="F8" i="5"/>
  <c r="G8" i="5" s="1"/>
  <c r="K15" i="4"/>
  <c r="L15" i="4" s="1"/>
  <c r="K14" i="4"/>
  <c r="L14" i="4" s="1"/>
  <c r="K13" i="4"/>
  <c r="K12" i="4"/>
  <c r="K11" i="4"/>
  <c r="T11" i="4" s="1"/>
  <c r="K10" i="4"/>
  <c r="Q10" i="4"/>
  <c r="R10" i="4" s="1"/>
  <c r="Q11" i="4"/>
  <c r="S11" i="4" s="1"/>
  <c r="Q12" i="4"/>
  <c r="S12" i="4" s="1"/>
  <c r="Q13" i="4"/>
  <c r="S13" i="4" s="1"/>
  <c r="Q14" i="4"/>
  <c r="S14" i="4" s="1"/>
  <c r="Q15" i="4"/>
  <c r="S15" i="4" s="1"/>
  <c r="P17" i="4"/>
  <c r="Q8" i="4"/>
  <c r="R8" i="4" s="1"/>
  <c r="K8" i="4"/>
  <c r="L8" i="4" s="1"/>
  <c r="J17" i="4"/>
  <c r="C17" i="4"/>
  <c r="D17" i="4"/>
  <c r="E17" i="4"/>
  <c r="F17" i="4"/>
  <c r="G17" i="4"/>
  <c r="H17" i="4"/>
  <c r="I17" i="4"/>
  <c r="M17" i="4"/>
  <c r="N17" i="4"/>
  <c r="O17" i="4"/>
  <c r="B17" i="4"/>
  <c r="H15" i="5" l="1"/>
  <c r="T12" i="4"/>
  <c r="R11" i="4"/>
  <c r="R13" i="4"/>
  <c r="R15" i="4"/>
  <c r="R14" i="4"/>
  <c r="T10" i="4"/>
  <c r="T13" i="4"/>
  <c r="R12" i="4"/>
  <c r="H12" i="5"/>
  <c r="H16" i="5"/>
  <c r="G11" i="5"/>
  <c r="G14" i="5"/>
  <c r="G10" i="5"/>
  <c r="G13" i="5"/>
  <c r="F18" i="5"/>
  <c r="H18" i="5" s="1"/>
  <c r="T8" i="4"/>
  <c r="T15" i="4"/>
  <c r="T14" i="4"/>
  <c r="S10" i="4"/>
  <c r="Q17" i="4"/>
  <c r="S17" i="4" s="1"/>
  <c r="L13" i="4"/>
  <c r="L12" i="4"/>
  <c r="L11" i="4"/>
  <c r="K17" i="4"/>
  <c r="L10" i="4"/>
  <c r="R17" i="4" l="1"/>
  <c r="G18" i="5"/>
  <c r="L17" i="4"/>
  <c r="T17" i="4" l="1"/>
</calcChain>
</file>

<file path=xl/sharedStrings.xml><?xml version="1.0" encoding="utf-8"?>
<sst xmlns="http://schemas.openxmlformats.org/spreadsheetml/2006/main" count="82" uniqueCount="49">
  <si>
    <t>Exam in</t>
  </si>
  <si>
    <t>Grades</t>
  </si>
  <si>
    <t>Teacher:</t>
  </si>
  <si>
    <t>A</t>
  </si>
  <si>
    <t>xx=&lt;</t>
  </si>
  <si>
    <t>VG</t>
  </si>
  <si>
    <t>Total score</t>
  </si>
  <si>
    <t>Grade/ECTS</t>
  </si>
  <si>
    <t>B</t>
  </si>
  <si>
    <t>G</t>
  </si>
  <si>
    <t>C</t>
  </si>
  <si>
    <t>U</t>
  </si>
  <si>
    <t>x</t>
  </si>
  <si>
    <t>D</t>
  </si>
  <si>
    <t>E</t>
  </si>
  <si>
    <t>F</t>
  </si>
  <si>
    <t>Tenta i</t>
  </si>
  <si>
    <t>Betygsfördelning</t>
  </si>
  <si>
    <t>ECTS fördelning</t>
  </si>
  <si>
    <t>Lärare:</t>
  </si>
  <si>
    <t>Dagens datum:</t>
  </si>
  <si>
    <t>Fråga nr.</t>
  </si>
  <si>
    <t>Skrivningsnummer</t>
  </si>
  <si>
    <t>…</t>
  </si>
  <si>
    <t>Totalpoäng</t>
  </si>
  <si>
    <t>ECTS</t>
  </si>
  <si>
    <t>Betyg</t>
  </si>
  <si>
    <t>max points</t>
  </si>
  <si>
    <t xml:space="preserve">AVERAGE </t>
  </si>
  <si>
    <t>PROBLEM SETS</t>
  </si>
  <si>
    <t>EXAM</t>
  </si>
  <si>
    <t>Student</t>
  </si>
  <si>
    <t>Total PS</t>
  </si>
  <si>
    <t>% Total PS</t>
  </si>
  <si>
    <t>Total exam</t>
  </si>
  <si>
    <t>% Total exam</t>
  </si>
  <si>
    <t>Gabriel Nilsen</t>
  </si>
  <si>
    <t>Grade exam</t>
  </si>
  <si>
    <t xml:space="preserve">Teodora Borota Milicevic, Erik Öberg </t>
  </si>
  <si>
    <t>PhD Macroeconomics II</t>
  </si>
  <si>
    <t>GRADE</t>
  </si>
  <si>
    <t>Gabriella Linderoth</t>
  </si>
  <si>
    <t>(ps #2 not graded)</t>
  </si>
  <si>
    <t>Karolina Westin</t>
  </si>
  <si>
    <t>Mona Dapfer</t>
  </si>
  <si>
    <t>Sebastiano Scalco</t>
  </si>
  <si>
    <t>AVG %</t>
  </si>
  <si>
    <t>Namn</t>
  </si>
  <si>
    <t>Marcus Rundström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</si>
</sst>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73239"/>
      <name val="Segoe U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2" borderId="0" xfId="0" applyFill="1"/>
    <xf numFmtId="0" fontId="3" fillId="0" borderId="0" xfId="1" applyFont="1"/>
    <xf numFmtId="0" fontId="1" fillId="2" borderId="0" xfId="0" applyFont="1" applyFill="1"/>
    <xf numFmtId="0" fontId="4" fillId="0" borderId="0" xfId="0" applyFont="1"/>
    <xf numFmtId="14" fontId="1" fillId="0" borderId="0" xfId="0" applyNumberFormat="1" applyFont="1"/>
    <xf numFmtId="0" fontId="0" fillId="0" borderId="0" xfId="0" applyFill="1"/>
    <xf numFmtId="0" fontId="0" fillId="0" borderId="0" xfId="0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Fill="1" applyBorder="1"/>
    <xf numFmtId="2" fontId="0" fillId="0" borderId="2" xfId="0" applyNumberFormat="1" applyBorder="1" applyAlignment="1">
      <alignment horizontal="right"/>
    </xf>
    <xf numFmtId="2" fontId="0" fillId="0" borderId="2" xfId="0" applyNumberFormat="1" applyFill="1" applyBorder="1"/>
    <xf numFmtId="2" fontId="0" fillId="2" borderId="2" xfId="0" applyNumberFormat="1" applyFill="1" applyBorder="1"/>
    <xf numFmtId="2" fontId="0" fillId="2" borderId="0" xfId="0" applyNumberFormat="1" applyFill="1"/>
    <xf numFmtId="2" fontId="0" fillId="2" borderId="0" xfId="0" applyNumberFormat="1" applyFill="1" applyBorder="1"/>
    <xf numFmtId="2" fontId="0" fillId="0" borderId="0" xfId="0" applyNumberFormat="1"/>
    <xf numFmtId="2" fontId="0" fillId="0" borderId="0" xfId="0" applyNumberFormat="1" applyFill="1"/>
    <xf numFmtId="0" fontId="4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Fill="1"/>
    <xf numFmtId="0" fontId="4" fillId="0" borderId="0" xfId="0" applyFont="1" applyFill="1"/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4"/>
  <sheetViews>
    <sheetView zoomScale="103" workbookViewId="0">
      <selection activeCell="A13" sqref="A13"/>
    </sheetView>
  </sheetViews>
  <sheetFormatPr defaultRowHeight="14.6" x14ac:dyDescent="0.4"/>
  <cols>
    <col min="1" max="1" width="18.3046875" customWidth="1"/>
    <col min="2" max="2" width="10.84375" bestFit="1" customWidth="1"/>
    <col min="12" max="12" width="10.3828125" customWidth="1"/>
    <col min="17" max="17" width="13.15234375" customWidth="1"/>
    <col min="18" max="19" width="13.3046875" customWidth="1"/>
    <col min="20" max="20" width="11.53515625" customWidth="1"/>
    <col min="21" max="21" width="12.84375" customWidth="1"/>
    <col min="22" max="22" width="9.15234375" customWidth="1"/>
  </cols>
  <sheetData>
    <row r="1" spans="1:30" x14ac:dyDescent="0.4">
      <c r="A1" s="1" t="s">
        <v>0</v>
      </c>
      <c r="B1" s="1" t="s">
        <v>39</v>
      </c>
      <c r="W1" s="1"/>
      <c r="X1" s="1"/>
      <c r="AB1" s="1" t="s">
        <v>1</v>
      </c>
    </row>
    <row r="2" spans="1:30" x14ac:dyDescent="0.4">
      <c r="A2" s="1" t="s">
        <v>2</v>
      </c>
      <c r="B2" s="1" t="s">
        <v>38</v>
      </c>
    </row>
    <row r="3" spans="1:30" x14ac:dyDescent="0.4">
      <c r="A3" s="1"/>
      <c r="B3" s="8"/>
      <c r="X3" s="1"/>
      <c r="Z3">
        <v>90</v>
      </c>
      <c r="AB3" s="1" t="s">
        <v>5</v>
      </c>
      <c r="AC3" t="s">
        <v>4</v>
      </c>
      <c r="AD3">
        <v>75</v>
      </c>
    </row>
    <row r="4" spans="1:30" x14ac:dyDescent="0.4">
      <c r="A4" s="1"/>
      <c r="B4" s="8"/>
    </row>
    <row r="5" spans="1:30" x14ac:dyDescent="0.4">
      <c r="A5" s="1"/>
      <c r="B5" s="8" t="s">
        <v>29</v>
      </c>
      <c r="J5" s="16"/>
      <c r="L5" s="16"/>
      <c r="M5" s="1" t="s">
        <v>30</v>
      </c>
      <c r="S5" s="16"/>
      <c r="X5" s="1"/>
      <c r="Z5">
        <v>75</v>
      </c>
      <c r="AB5" s="1" t="s">
        <v>9</v>
      </c>
      <c r="AC5" t="s">
        <v>4</v>
      </c>
      <c r="AD5">
        <v>50</v>
      </c>
    </row>
    <row r="6" spans="1:30" x14ac:dyDescent="0.4">
      <c r="B6" s="37" t="s">
        <v>42</v>
      </c>
      <c r="C6" s="37"/>
      <c r="D6" s="37"/>
      <c r="E6" s="10"/>
      <c r="F6" s="10"/>
      <c r="G6" s="10"/>
      <c r="H6" s="10"/>
      <c r="I6" s="10"/>
      <c r="J6" s="17"/>
      <c r="K6" s="15"/>
      <c r="L6" s="17"/>
      <c r="M6" s="10"/>
      <c r="N6" s="10"/>
      <c r="O6" s="10"/>
      <c r="P6" s="15"/>
      <c r="Q6" s="15"/>
      <c r="R6" s="15"/>
      <c r="S6" s="17"/>
      <c r="X6" s="1"/>
      <c r="AB6" s="1"/>
    </row>
    <row r="7" spans="1:30" x14ac:dyDescent="0.4">
      <c r="A7" s="2"/>
      <c r="B7" s="12">
        <v>1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8">
        <v>10</v>
      </c>
      <c r="K7" s="12" t="s">
        <v>32</v>
      </c>
      <c r="L7" s="18" t="s">
        <v>33</v>
      </c>
      <c r="M7" s="12">
        <v>1</v>
      </c>
      <c r="N7" s="12">
        <v>2</v>
      </c>
      <c r="O7" s="12">
        <v>3</v>
      </c>
      <c r="P7" s="12">
        <v>4</v>
      </c>
      <c r="Q7" s="12" t="s">
        <v>34</v>
      </c>
      <c r="R7" s="12" t="s">
        <v>35</v>
      </c>
      <c r="S7" s="18" t="s">
        <v>37</v>
      </c>
      <c r="T7" s="2" t="s">
        <v>6</v>
      </c>
      <c r="U7" s="2" t="s">
        <v>7</v>
      </c>
      <c r="V7" s="2" t="s">
        <v>40</v>
      </c>
    </row>
    <row r="8" spans="1:30" s="4" customFormat="1" x14ac:dyDescent="0.4">
      <c r="A8" s="11" t="s">
        <v>27</v>
      </c>
      <c r="B8" s="13">
        <v>2</v>
      </c>
      <c r="C8" s="13">
        <v>2</v>
      </c>
      <c r="D8" s="13">
        <v>2</v>
      </c>
      <c r="E8" s="13">
        <v>4</v>
      </c>
      <c r="F8" s="13">
        <v>4</v>
      </c>
      <c r="G8" s="13">
        <v>4</v>
      </c>
      <c r="H8" s="13">
        <v>4</v>
      </c>
      <c r="I8" s="13">
        <v>4</v>
      </c>
      <c r="J8" s="30">
        <v>4</v>
      </c>
      <c r="K8" s="13">
        <f>SUM(B8:J8)</f>
        <v>30</v>
      </c>
      <c r="L8" s="19">
        <f>K8/30*100</f>
        <v>100</v>
      </c>
      <c r="M8" s="13">
        <v>20</v>
      </c>
      <c r="N8" s="13">
        <v>20</v>
      </c>
      <c r="O8" s="13">
        <v>15</v>
      </c>
      <c r="P8" s="13">
        <v>15</v>
      </c>
      <c r="Q8" s="13">
        <f>SUM(M8:P8)</f>
        <v>70</v>
      </c>
      <c r="R8" s="13">
        <f>Q8/70*100</f>
        <v>100</v>
      </c>
      <c r="S8" s="19"/>
      <c r="T8" s="11">
        <f>SUM(K8,Q8)</f>
        <v>100</v>
      </c>
      <c r="U8" s="11"/>
      <c r="V8" s="1"/>
      <c r="W8"/>
      <c r="X8" s="1"/>
      <c r="Y8"/>
      <c r="Z8">
        <v>65</v>
      </c>
      <c r="AA8"/>
      <c r="AB8" s="6" t="s">
        <v>11</v>
      </c>
      <c r="AC8" s="4" t="s">
        <v>4</v>
      </c>
      <c r="AD8" s="4" t="s">
        <v>12</v>
      </c>
    </row>
    <row r="9" spans="1:30" x14ac:dyDescent="0.4">
      <c r="A9" s="11" t="s">
        <v>31</v>
      </c>
      <c r="B9" s="13"/>
      <c r="C9" s="13"/>
      <c r="D9" s="13"/>
      <c r="E9" s="13"/>
      <c r="F9" s="13"/>
      <c r="G9" s="13"/>
      <c r="H9" s="13"/>
      <c r="I9" s="13"/>
      <c r="J9" s="19"/>
      <c r="K9" s="13"/>
      <c r="L9" s="19"/>
      <c r="M9" s="13"/>
      <c r="N9" s="13"/>
      <c r="O9" s="13"/>
      <c r="P9" s="13"/>
      <c r="Q9" s="13"/>
      <c r="R9" s="13"/>
      <c r="S9" s="19"/>
      <c r="T9" s="11"/>
      <c r="U9" s="11"/>
      <c r="V9" s="1"/>
    </row>
    <row r="10" spans="1:30" s="4" customFormat="1" ht="17.149999999999999" x14ac:dyDescent="0.55000000000000004">
      <c r="A10"/>
      <c r="B10" s="14"/>
      <c r="C10" s="14"/>
      <c r="D10" s="14"/>
      <c r="E10" s="14"/>
      <c r="F10" s="14"/>
      <c r="G10" s="14"/>
      <c r="H10" s="14"/>
      <c r="I10" s="14"/>
      <c r="J10" s="20"/>
      <c r="K10" s="14">
        <f t="shared" ref="K10:K15" si="0">SUM(B10:J10)</f>
        <v>0</v>
      </c>
      <c r="L10" s="22">
        <f>(K10/30)*100</f>
        <v>0</v>
      </c>
      <c r="M10" s="14"/>
      <c r="N10" s="14"/>
      <c r="O10" s="14"/>
      <c r="P10" s="14"/>
      <c r="Q10" s="13">
        <f>SUM(M10:P10)</f>
        <v>0</v>
      </c>
      <c r="R10" s="13">
        <f t="shared" ref="R10:R15" si="1">Q10/70*100</f>
        <v>0</v>
      </c>
      <c r="S10" s="29" t="str">
        <f>IF(Q10&gt;59.9,"VG",IF(Q10&gt;29.9,"G","U"))</f>
        <v>U</v>
      </c>
      <c r="T10" s="27">
        <f>SUM(K10,Q10)</f>
        <v>0</v>
      </c>
      <c r="U10" s="7"/>
      <c r="V10" s="7"/>
      <c r="W10"/>
      <c r="X10" s="1"/>
      <c r="Y10"/>
      <c r="Z10">
        <v>55</v>
      </c>
      <c r="AA10"/>
    </row>
    <row r="11" spans="1:30" ht="17.149999999999999" x14ac:dyDescent="0.55000000000000004">
      <c r="B11" s="14"/>
      <c r="C11" s="14"/>
      <c r="D11" s="14"/>
      <c r="E11" s="14"/>
      <c r="F11" s="14"/>
      <c r="G11" s="14"/>
      <c r="H11" s="14"/>
      <c r="I11" s="14"/>
      <c r="J11" s="20"/>
      <c r="K11" s="14">
        <f t="shared" si="0"/>
        <v>0</v>
      </c>
      <c r="L11" s="22">
        <f t="shared" ref="L11:L15" si="2">K11/30*100</f>
        <v>0</v>
      </c>
      <c r="M11" s="14"/>
      <c r="N11" s="14"/>
      <c r="O11" s="14"/>
      <c r="P11" s="14"/>
      <c r="Q11" s="13">
        <f t="shared" ref="Q11:Q15" si="3">SUM(M11:P11)</f>
        <v>0</v>
      </c>
      <c r="R11" s="13">
        <f t="shared" si="1"/>
        <v>0</v>
      </c>
      <c r="S11" s="29" t="str">
        <f t="shared" ref="S11:S17" si="4">IF(Q11&gt;59.9,"VG",IF(Q11&gt;29.9,"G","U"))</f>
        <v>U</v>
      </c>
      <c r="T11" s="27">
        <f t="shared" ref="T11:T15" si="5">SUM(K11,Q11)</f>
        <v>0</v>
      </c>
      <c r="U11" s="7"/>
      <c r="V11" s="7"/>
    </row>
    <row r="12" spans="1:30" s="4" customFormat="1" ht="17.149999999999999" x14ac:dyDescent="0.55000000000000004">
      <c r="A12"/>
      <c r="B12" s="14"/>
      <c r="C12" s="14"/>
      <c r="D12" s="14"/>
      <c r="E12" s="14"/>
      <c r="F12" s="14"/>
      <c r="G12" s="14"/>
      <c r="H12" s="14"/>
      <c r="I12" s="14"/>
      <c r="J12" s="20"/>
      <c r="K12" s="14">
        <f t="shared" si="0"/>
        <v>0</v>
      </c>
      <c r="L12" s="22">
        <f t="shared" si="2"/>
        <v>0</v>
      </c>
      <c r="M12" s="14"/>
      <c r="N12" s="14"/>
      <c r="O12" s="14"/>
      <c r="P12" s="14"/>
      <c r="Q12" s="13">
        <f t="shared" si="3"/>
        <v>0</v>
      </c>
      <c r="R12" s="13">
        <f t="shared" si="1"/>
        <v>0</v>
      </c>
      <c r="S12" s="29" t="str">
        <f t="shared" si="4"/>
        <v>U</v>
      </c>
      <c r="T12" s="27">
        <f t="shared" si="5"/>
        <v>0</v>
      </c>
      <c r="U12" s="7"/>
      <c r="V12" s="7"/>
      <c r="W12"/>
      <c r="X12" s="1"/>
      <c r="Y12"/>
      <c r="Z12">
        <v>50</v>
      </c>
      <c r="AA12"/>
    </row>
    <row r="13" spans="1:30" ht="17.149999999999999" x14ac:dyDescent="0.55000000000000004">
      <c r="B13" s="14"/>
      <c r="C13" s="14"/>
      <c r="D13" s="14"/>
      <c r="E13" s="14"/>
      <c r="F13" s="14"/>
      <c r="G13" s="14"/>
      <c r="H13" s="14"/>
      <c r="I13" s="14"/>
      <c r="J13" s="20"/>
      <c r="K13" s="14">
        <f t="shared" si="0"/>
        <v>0</v>
      </c>
      <c r="L13" s="22">
        <f t="shared" si="2"/>
        <v>0</v>
      </c>
      <c r="M13" s="14"/>
      <c r="N13" s="14"/>
      <c r="O13" s="14"/>
      <c r="P13" s="14"/>
      <c r="Q13" s="13">
        <f t="shared" si="3"/>
        <v>0</v>
      </c>
      <c r="R13" s="13">
        <f t="shared" si="1"/>
        <v>0</v>
      </c>
      <c r="S13" s="29" t="str">
        <f t="shared" si="4"/>
        <v>U</v>
      </c>
      <c r="T13" s="27">
        <f t="shared" si="5"/>
        <v>0</v>
      </c>
      <c r="U13" s="7"/>
      <c r="V13" s="7"/>
    </row>
    <row r="14" spans="1:30" s="4" customFormat="1" ht="17.149999999999999" x14ac:dyDescent="0.55000000000000004">
      <c r="A14"/>
      <c r="B14" s="14"/>
      <c r="C14" s="14"/>
      <c r="D14" s="14"/>
      <c r="E14" s="14"/>
      <c r="F14" s="14"/>
      <c r="G14" s="14"/>
      <c r="H14" s="14"/>
      <c r="I14" s="14"/>
      <c r="J14" s="20"/>
      <c r="K14" s="14">
        <f t="shared" si="0"/>
        <v>0</v>
      </c>
      <c r="L14" s="22">
        <f t="shared" si="2"/>
        <v>0</v>
      </c>
      <c r="M14" s="14"/>
      <c r="N14" s="14"/>
      <c r="O14" s="14"/>
      <c r="P14" s="14"/>
      <c r="Q14" s="13">
        <f t="shared" si="3"/>
        <v>0</v>
      </c>
      <c r="R14" s="13">
        <f t="shared" si="1"/>
        <v>0</v>
      </c>
      <c r="S14" s="29" t="str">
        <f t="shared" si="4"/>
        <v>U</v>
      </c>
      <c r="T14" s="27">
        <f t="shared" si="5"/>
        <v>0</v>
      </c>
      <c r="U14" s="7"/>
      <c r="V14" s="7"/>
      <c r="W14"/>
      <c r="X14" s="1"/>
      <c r="Y14"/>
      <c r="Z14" t="s">
        <v>12</v>
      </c>
      <c r="AA14"/>
    </row>
    <row r="15" spans="1:30" s="4" customFormat="1" ht="17.149999999999999" x14ac:dyDescent="0.55000000000000004">
      <c r="A15"/>
      <c r="B15" s="14"/>
      <c r="C15" s="14"/>
      <c r="D15" s="14"/>
      <c r="E15" s="14"/>
      <c r="F15" s="14"/>
      <c r="G15" s="14"/>
      <c r="H15" s="14"/>
      <c r="I15" s="14"/>
      <c r="J15" s="20"/>
      <c r="K15" s="14">
        <f t="shared" si="0"/>
        <v>0</v>
      </c>
      <c r="L15" s="22">
        <f t="shared" si="2"/>
        <v>0</v>
      </c>
      <c r="M15" s="14"/>
      <c r="N15" s="14"/>
      <c r="O15" s="14"/>
      <c r="P15" s="14"/>
      <c r="Q15" s="13">
        <f t="shared" si="3"/>
        <v>0</v>
      </c>
      <c r="R15" s="13">
        <f t="shared" si="1"/>
        <v>0</v>
      </c>
      <c r="S15" s="29" t="str">
        <f t="shared" si="4"/>
        <v>U</v>
      </c>
      <c r="T15" s="27">
        <f t="shared" si="5"/>
        <v>0</v>
      </c>
      <c r="U15" s="7"/>
      <c r="V15" s="7"/>
      <c r="W15"/>
      <c r="X15"/>
      <c r="Y15"/>
      <c r="Z15"/>
      <c r="AA15"/>
      <c r="AB15"/>
      <c r="AC15"/>
      <c r="AD15"/>
    </row>
    <row r="16" spans="1:30" s="4" customFormat="1" ht="17.149999999999999" x14ac:dyDescent="0.55000000000000004">
      <c r="A16" s="9"/>
      <c r="B16" s="9"/>
      <c r="C16" s="9"/>
      <c r="D16" s="9"/>
      <c r="E16" s="9"/>
      <c r="F16" s="9"/>
      <c r="G16" s="9"/>
      <c r="H16" s="9"/>
      <c r="I16" s="9"/>
      <c r="J16" s="21"/>
      <c r="K16" s="9"/>
      <c r="L16" s="23"/>
      <c r="M16" s="9"/>
      <c r="N16" s="9"/>
      <c r="O16" s="9"/>
      <c r="P16" s="9"/>
      <c r="Q16" s="9"/>
      <c r="R16" s="9"/>
      <c r="S16" s="29"/>
      <c r="T16" s="28"/>
      <c r="U16" s="7"/>
      <c r="V16" s="7"/>
      <c r="W16"/>
      <c r="X16"/>
      <c r="Y16"/>
      <c r="Z16"/>
      <c r="AA16"/>
      <c r="AB16"/>
      <c r="AC16"/>
      <c r="AD16"/>
    </row>
    <row r="17" spans="1:30" s="4" customFormat="1" ht="17.149999999999999" x14ac:dyDescent="0.55000000000000004">
      <c r="A17" s="4" t="s">
        <v>28</v>
      </c>
      <c r="B17" s="25" t="e">
        <f t="shared" ref="B17:P17" si="6">AVERAGE(B10:B15)</f>
        <v>#DIV/0!</v>
      </c>
      <c r="C17" s="25" t="e">
        <f t="shared" si="6"/>
        <v>#DIV/0!</v>
      </c>
      <c r="D17" s="25" t="e">
        <f t="shared" si="6"/>
        <v>#DIV/0!</v>
      </c>
      <c r="E17" s="25" t="e">
        <f t="shared" si="6"/>
        <v>#DIV/0!</v>
      </c>
      <c r="F17" s="25" t="e">
        <f t="shared" si="6"/>
        <v>#DIV/0!</v>
      </c>
      <c r="G17" s="25" t="e">
        <f t="shared" si="6"/>
        <v>#DIV/0!</v>
      </c>
      <c r="H17" s="25" t="e">
        <f t="shared" si="6"/>
        <v>#DIV/0!</v>
      </c>
      <c r="I17" s="25" t="e">
        <f t="shared" si="6"/>
        <v>#DIV/0!</v>
      </c>
      <c r="J17" s="24" t="e">
        <f t="shared" si="6"/>
        <v>#DIV/0!</v>
      </c>
      <c r="K17" s="26">
        <f t="shared" si="6"/>
        <v>0</v>
      </c>
      <c r="L17" s="24">
        <f t="shared" si="6"/>
        <v>0</v>
      </c>
      <c r="M17" s="25" t="e">
        <f t="shared" si="6"/>
        <v>#DIV/0!</v>
      </c>
      <c r="N17" s="25" t="e">
        <f t="shared" si="6"/>
        <v>#DIV/0!</v>
      </c>
      <c r="O17" s="25" t="e">
        <f t="shared" si="6"/>
        <v>#DIV/0!</v>
      </c>
      <c r="P17" s="25" t="e">
        <f t="shared" si="6"/>
        <v>#DIV/0!</v>
      </c>
      <c r="Q17" s="25">
        <f t="shared" ref="Q17:R17" si="7">AVERAGE(Q10:Q15)</f>
        <v>0</v>
      </c>
      <c r="R17" s="25">
        <f t="shared" si="7"/>
        <v>0</v>
      </c>
      <c r="S17" s="29" t="str">
        <f t="shared" si="4"/>
        <v>U</v>
      </c>
      <c r="T17" s="25">
        <f>AVERAGE(T10:T15)</f>
        <v>0</v>
      </c>
      <c r="U17" s="7"/>
      <c r="V17" s="7"/>
      <c r="W17"/>
      <c r="X17"/>
      <c r="Y17"/>
      <c r="Z17"/>
      <c r="AA17"/>
      <c r="AB17"/>
      <c r="AC17"/>
      <c r="AD17"/>
    </row>
    <row r="18" spans="1:30" ht="17.149999999999999" x14ac:dyDescent="0.5500000000000000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U18" s="7"/>
      <c r="V18" s="7"/>
    </row>
    <row r="19" spans="1:30" s="4" customFormat="1" ht="17.149999999999999" x14ac:dyDescent="0.55000000000000004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s="7"/>
      <c r="V19" s="7"/>
      <c r="W19"/>
      <c r="X19"/>
      <c r="Y19"/>
      <c r="Z19"/>
      <c r="AA19"/>
      <c r="AB19"/>
      <c r="AC19"/>
      <c r="AD19"/>
    </row>
    <row r="20" spans="1:30" s="4" customFormat="1" x14ac:dyDescent="0.4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1:30" x14ac:dyDescent="0.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30" s="4" customFormat="1" x14ac:dyDescent="0.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0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30" s="4" customFormat="1" x14ac:dyDescent="0.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0" x14ac:dyDescent="0.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30" s="4" customFormat="1" x14ac:dyDescent="0.4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0" x14ac:dyDescent="0.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30" s="4" customFormat="1" x14ac:dyDescent="0.4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0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30" s="4" customFormat="1" x14ac:dyDescent="0.4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30" s="4" customFormat="1" x14ac:dyDescent="0.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30" s="4" customFormat="1" x14ac:dyDescent="0.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30" s="4" customFormat="1" x14ac:dyDescent="0.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30" s="4" customFormat="1" x14ac:dyDescent="0.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30" s="4" customFormat="1" x14ac:dyDescent="0.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30" s="4" customFormat="1" x14ac:dyDescent="0.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30" s="4" customFormat="1" x14ac:dyDescent="0.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30" s="4" customFormat="1" x14ac:dyDescent="0.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30" s="4" customFormat="1" x14ac:dyDescent="0.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30" s="4" customFormat="1" x14ac:dyDescent="0.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30" s="4" customFormat="1" x14ac:dyDescent="0.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30" s="4" customFormat="1" x14ac:dyDescent="0.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30" s="4" customFormat="1" x14ac:dyDescent="0.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30" s="4" customFormat="1" x14ac:dyDescent="0.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30" s="4" customFormat="1" x14ac:dyDescent="0.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30" s="4" customFormat="1" x14ac:dyDescent="0.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30" s="4" customFormat="1" x14ac:dyDescent="0.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30" s="4" customFormat="1" x14ac:dyDescent="0.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 spans="1:30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30" s="4" customFormat="1" x14ac:dyDescent="0.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 spans="1:30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30" s="4" customFormat="1" x14ac:dyDescent="0.4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 spans="1:30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30" s="4" customFormat="1" x14ac:dyDescent="0.4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 spans="1:30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30" s="4" customFormat="1" x14ac:dyDescent="0.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 spans="1:30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30" s="4" customFormat="1" x14ac:dyDescent="0.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 spans="1:30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30" s="4" customFormat="1" x14ac:dyDescent="0.4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1:30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30" s="4" customFormat="1" x14ac:dyDescent="0.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 spans="1:30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30" s="4" customFormat="1" x14ac:dyDescent="0.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1:30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30" s="4" customFormat="1" x14ac:dyDescent="0.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1:30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30" s="4" customFormat="1" x14ac:dyDescent="0.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1:30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30" s="4" customFormat="1" x14ac:dyDescent="0.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1:30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30" s="4" customFormat="1" x14ac:dyDescent="0.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1:30" ht="1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30" s="4" customFormat="1" x14ac:dyDescent="0.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1:30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30" s="4" customFormat="1" x14ac:dyDescent="0.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1:30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30" s="4" customFormat="1" x14ac:dyDescent="0.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1:30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30" s="4" customFormat="1" x14ac:dyDescent="0.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1:30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30" s="4" customFormat="1" x14ac:dyDescent="0.4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1:30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30" s="4" customFormat="1" x14ac:dyDescent="0.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30" s="4" customFormat="1" x14ac:dyDescent="0.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 spans="1:30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30" s="4" customFormat="1" x14ac:dyDescent="0.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 spans="1:30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30" s="4" customFormat="1" x14ac:dyDescent="0.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30" s="4" customFormat="1" x14ac:dyDescent="0.4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30" s="4" customFormat="1" x14ac:dyDescent="0.4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30" s="4" customFormat="1" x14ac:dyDescent="0.4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30" s="4" customFormat="1" x14ac:dyDescent="0.4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30" s="4" customFormat="1" x14ac:dyDescent="0.4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30" s="4" customFormat="1" x14ac:dyDescent="0.4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30" s="4" customFormat="1" x14ac:dyDescent="0.4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30" s="4" customFormat="1" x14ac:dyDescent="0.4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30" s="4" customFormat="1" x14ac:dyDescent="0.4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30" s="4" customFormat="1" x14ac:dyDescent="0.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30" s="4" customFormat="1" x14ac:dyDescent="0.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30" s="4" customFormat="1" x14ac:dyDescent="0.4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30" s="4" customFormat="1" x14ac:dyDescent="0.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30" s="4" customFormat="1" x14ac:dyDescent="0.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30" s="4" customFormat="1" x14ac:dyDescent="0.4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30" s="4" customFormat="1" x14ac:dyDescent="0.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2" spans="1:30" s="4" customFormat="1" x14ac:dyDescent="0.4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4" spans="1:30" s="4" customFormat="1" x14ac:dyDescent="0.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</sheetData>
  <mergeCells count="1">
    <mergeCell ref="B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8"/>
  <sheetViews>
    <sheetView tabSelected="1" zoomScale="103" workbookViewId="0">
      <selection activeCell="E11" sqref="E11"/>
    </sheetView>
  </sheetViews>
  <sheetFormatPr defaultRowHeight="14.6" x14ac:dyDescent="0.4"/>
  <cols>
    <col min="1" max="1" width="18.3046875" customWidth="1"/>
    <col min="2" max="2" width="10.84375" bestFit="1" customWidth="1"/>
    <col min="6" max="6" width="11.3046875" customWidth="1"/>
    <col min="7" max="7" width="13.53515625" style="27" customWidth="1"/>
    <col min="8" max="8" width="11.3828125" customWidth="1"/>
    <col min="9" max="9" width="10.3828125" customWidth="1"/>
    <col min="10" max="10" width="11.53515625" style="9" customWidth="1"/>
    <col min="11" max="11" width="12.84375" style="9" customWidth="1"/>
    <col min="12" max="12" width="9.15234375" style="9" customWidth="1"/>
    <col min="13" max="20" width="8.84375" style="9"/>
  </cols>
  <sheetData>
    <row r="1" spans="1:20" x14ac:dyDescent="0.4">
      <c r="A1" s="1" t="s">
        <v>0</v>
      </c>
      <c r="B1" s="1" t="s">
        <v>39</v>
      </c>
      <c r="M1" s="32"/>
    </row>
    <row r="2" spans="1:20" x14ac:dyDescent="0.4">
      <c r="A2" s="1" t="s">
        <v>2</v>
      </c>
      <c r="B2" s="1" t="s">
        <v>38</v>
      </c>
    </row>
    <row r="3" spans="1:20" x14ac:dyDescent="0.4">
      <c r="A3" s="1"/>
      <c r="B3" s="8"/>
    </row>
    <row r="4" spans="1:20" x14ac:dyDescent="0.4">
      <c r="A4" s="1"/>
      <c r="B4" s="8"/>
    </row>
    <row r="5" spans="1:20" x14ac:dyDescent="0.4">
      <c r="A5" s="1"/>
      <c r="B5" s="1" t="s">
        <v>30</v>
      </c>
      <c r="H5" s="16"/>
    </row>
    <row r="6" spans="1:20" x14ac:dyDescent="0.4">
      <c r="B6" s="31"/>
      <c r="C6" s="31"/>
      <c r="D6" s="31"/>
      <c r="E6" s="31"/>
      <c r="F6" s="31"/>
      <c r="G6" s="34"/>
      <c r="H6" s="17"/>
    </row>
    <row r="7" spans="1:20" x14ac:dyDescent="0.4">
      <c r="A7" s="2"/>
      <c r="B7" s="12">
        <v>1</v>
      </c>
      <c r="C7" s="12">
        <v>2</v>
      </c>
      <c r="D7" s="12">
        <v>3</v>
      </c>
      <c r="E7" s="12">
        <v>4</v>
      </c>
      <c r="F7" s="12" t="s">
        <v>34</v>
      </c>
      <c r="G7" s="35" t="s">
        <v>35</v>
      </c>
      <c r="H7" s="18" t="s">
        <v>37</v>
      </c>
    </row>
    <row r="8" spans="1:20" s="4" customFormat="1" x14ac:dyDescent="0.4">
      <c r="A8" s="11" t="s">
        <v>27</v>
      </c>
      <c r="B8" s="13">
        <v>20</v>
      </c>
      <c r="C8" s="13">
        <v>20</v>
      </c>
      <c r="D8" s="13">
        <v>15</v>
      </c>
      <c r="E8" s="13">
        <v>15</v>
      </c>
      <c r="F8" s="13">
        <f>SUM(B8:E8)</f>
        <v>70</v>
      </c>
      <c r="G8" s="36">
        <f>F8/70*100</f>
        <v>100</v>
      </c>
      <c r="H8" s="19"/>
      <c r="I8"/>
      <c r="J8" s="9" t="s">
        <v>47</v>
      </c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4">
      <c r="A9" s="11" t="s">
        <v>31</v>
      </c>
      <c r="B9" s="13"/>
      <c r="C9" s="13"/>
      <c r="D9" s="13"/>
      <c r="E9" s="13"/>
      <c r="F9" s="13"/>
      <c r="G9" s="36"/>
      <c r="H9" s="19"/>
    </row>
    <row r="10" spans="1:20" s="4" customFormat="1" ht="17.149999999999999" x14ac:dyDescent="0.55000000000000004">
      <c r="A10">
        <v>1</v>
      </c>
      <c r="B10" s="14"/>
      <c r="C10" s="14">
        <v>6</v>
      </c>
      <c r="D10" s="14">
        <v>4</v>
      </c>
      <c r="E10" s="14">
        <v>6</v>
      </c>
      <c r="F10" s="13">
        <f>SUM(B10:E10)</f>
        <v>16</v>
      </c>
      <c r="G10" s="36">
        <f t="shared" ref="G10:G16" si="0">F10/70*100</f>
        <v>22.857142857142858</v>
      </c>
      <c r="H10" s="29" t="str">
        <f>IF(F10&gt;59.9,"VG",IF(F10&gt;29.9,"G","U"))</f>
        <v>U</v>
      </c>
      <c r="I10"/>
      <c r="J10" t="s">
        <v>44</v>
      </c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7.149999999999999" x14ac:dyDescent="0.55000000000000004">
      <c r="A11">
        <v>2</v>
      </c>
      <c r="B11" s="14"/>
      <c r="C11" s="14"/>
      <c r="D11" s="14"/>
      <c r="E11" s="14"/>
      <c r="F11" s="13">
        <f t="shared" ref="F11:F16" si="1">SUM(B11:E11)</f>
        <v>0</v>
      </c>
      <c r="G11" s="36">
        <f t="shared" si="0"/>
        <v>0</v>
      </c>
      <c r="H11" s="29" t="str">
        <f t="shared" ref="H11:H18" si="2">IF(F11&gt;59.9,"VG",IF(F11&gt;29.9,"G","U"))</f>
        <v>U</v>
      </c>
      <c r="J11" t="s">
        <v>41</v>
      </c>
    </row>
    <row r="12" spans="1:20" s="4" customFormat="1" ht="17.149999999999999" x14ac:dyDescent="0.55000000000000004">
      <c r="A12">
        <v>3</v>
      </c>
      <c r="B12" s="14"/>
      <c r="C12" s="14">
        <v>5</v>
      </c>
      <c r="D12" s="14">
        <v>5</v>
      </c>
      <c r="E12" s="14">
        <v>6</v>
      </c>
      <c r="F12" s="13">
        <f t="shared" si="1"/>
        <v>16</v>
      </c>
      <c r="G12" s="36">
        <f t="shared" si="0"/>
        <v>22.857142857142858</v>
      </c>
      <c r="H12" s="29" t="str">
        <f t="shared" si="2"/>
        <v>U</v>
      </c>
      <c r="I12"/>
      <c r="J12" t="s">
        <v>36</v>
      </c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17.149999999999999" x14ac:dyDescent="0.55000000000000004">
      <c r="A13">
        <v>4</v>
      </c>
      <c r="B13" s="14"/>
      <c r="C13" s="14">
        <v>5</v>
      </c>
      <c r="D13" s="14">
        <v>8</v>
      </c>
      <c r="E13" s="14">
        <v>4</v>
      </c>
      <c r="F13" s="13">
        <f t="shared" si="1"/>
        <v>17</v>
      </c>
      <c r="G13" s="36">
        <f t="shared" si="0"/>
        <v>24.285714285714285</v>
      </c>
      <c r="H13" s="29" t="str">
        <f t="shared" si="2"/>
        <v>U</v>
      </c>
      <c r="J13" t="s">
        <v>48</v>
      </c>
    </row>
    <row r="14" spans="1:20" s="4" customFormat="1" ht="17.149999999999999" x14ac:dyDescent="0.55000000000000004">
      <c r="A14">
        <v>5</v>
      </c>
      <c r="B14" s="14"/>
      <c r="C14" s="14">
        <v>1</v>
      </c>
      <c r="D14" s="14">
        <v>5</v>
      </c>
      <c r="E14" s="14">
        <v>3</v>
      </c>
      <c r="F14" s="13">
        <f t="shared" si="1"/>
        <v>9</v>
      </c>
      <c r="G14" s="36">
        <f t="shared" si="0"/>
        <v>12.857142857142856</v>
      </c>
      <c r="H14" s="29" t="str">
        <f t="shared" si="2"/>
        <v>U</v>
      </c>
      <c r="I14"/>
      <c r="J14" t="s">
        <v>45</v>
      </c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4" customFormat="1" ht="17.149999999999999" x14ac:dyDescent="0.55000000000000004">
      <c r="A15">
        <v>6</v>
      </c>
      <c r="B15" s="14"/>
      <c r="C15" s="14">
        <v>5</v>
      </c>
      <c r="D15" s="14">
        <v>5</v>
      </c>
      <c r="E15" s="14">
        <v>6</v>
      </c>
      <c r="F15" s="13">
        <f t="shared" si="1"/>
        <v>16</v>
      </c>
      <c r="G15" s="36">
        <f t="shared" si="0"/>
        <v>22.857142857142858</v>
      </c>
      <c r="H15" s="29" t="str">
        <f t="shared" si="2"/>
        <v>U</v>
      </c>
      <c r="I15"/>
      <c r="J15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s="4" customFormat="1" ht="17.149999999999999" x14ac:dyDescent="0.55000000000000004">
      <c r="A16">
        <v>7</v>
      </c>
      <c r="B16" s="14"/>
      <c r="C16" s="14">
        <v>2</v>
      </c>
      <c r="D16" s="14">
        <v>0</v>
      </c>
      <c r="E16" s="14">
        <v>4</v>
      </c>
      <c r="F16" s="13">
        <f t="shared" si="1"/>
        <v>6</v>
      </c>
      <c r="G16" s="36">
        <f t="shared" si="0"/>
        <v>8.5714285714285712</v>
      </c>
      <c r="H16" s="29" t="str">
        <f t="shared" si="2"/>
        <v>U</v>
      </c>
      <c r="I16"/>
      <c r="J16" t="s">
        <v>43</v>
      </c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s="4" customFormat="1" ht="17.149999999999999" x14ac:dyDescent="0.55000000000000004">
      <c r="A17" s="9"/>
      <c r="B17" s="9"/>
      <c r="C17" s="9"/>
      <c r="D17" s="9"/>
      <c r="E17" s="9"/>
      <c r="F17" s="9"/>
      <c r="G17" s="28"/>
      <c r="H17" s="29"/>
      <c r="I17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s="4" customFormat="1" ht="17.149999999999999" x14ac:dyDescent="0.55000000000000004">
      <c r="A18" s="4" t="s">
        <v>28</v>
      </c>
      <c r="B18" s="25" t="e">
        <f t="shared" ref="B18:G18" si="3">AVERAGE(B10:B16)</f>
        <v>#DIV/0!</v>
      </c>
      <c r="C18" s="25">
        <f t="shared" si="3"/>
        <v>4</v>
      </c>
      <c r="D18" s="25">
        <f t="shared" si="3"/>
        <v>4.5</v>
      </c>
      <c r="E18" s="25">
        <f t="shared" si="3"/>
        <v>4.833333333333333</v>
      </c>
      <c r="F18" s="25">
        <f t="shared" si="3"/>
        <v>11.428571428571429</v>
      </c>
      <c r="G18" s="25">
        <f t="shared" si="3"/>
        <v>16.326530612244898</v>
      </c>
      <c r="H18" s="29" t="str">
        <f t="shared" si="2"/>
        <v>U</v>
      </c>
      <c r="I1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7.149999999999999" x14ac:dyDescent="0.55000000000000004">
      <c r="A19" s="9" t="s">
        <v>46</v>
      </c>
      <c r="B19" s="28" t="e">
        <f>B18/B8*100</f>
        <v>#DIV/0!</v>
      </c>
      <c r="C19" s="28">
        <f t="shared" ref="C19:E19" si="4">C18/C8*100</f>
        <v>20</v>
      </c>
      <c r="D19" s="28">
        <f t="shared" si="4"/>
        <v>30</v>
      </c>
      <c r="E19" s="28">
        <f t="shared" si="4"/>
        <v>32.222222222222221</v>
      </c>
      <c r="F19" s="9"/>
      <c r="G19" s="28"/>
      <c r="H19" s="9"/>
      <c r="I19" s="9"/>
      <c r="K19" s="33"/>
      <c r="L19" s="33"/>
    </row>
    <row r="20" spans="1:20" s="4" customFormat="1" ht="17.149999999999999" x14ac:dyDescent="0.55000000000000004">
      <c r="A20"/>
      <c r="B20"/>
      <c r="C20"/>
      <c r="D20"/>
      <c r="E20"/>
      <c r="F20"/>
      <c r="G20" s="27"/>
      <c r="H20"/>
      <c r="I20"/>
      <c r="J20" s="9"/>
      <c r="K20" s="33"/>
      <c r="L20" s="33"/>
      <c r="M20" s="9"/>
      <c r="N20" s="9"/>
      <c r="O20" s="9"/>
      <c r="P20" s="9"/>
      <c r="Q20" s="9"/>
      <c r="R20" s="9"/>
      <c r="S20" s="9"/>
      <c r="T20" s="9"/>
    </row>
    <row r="21" spans="1:20" x14ac:dyDescent="0.4">
      <c r="A21" s="4"/>
      <c r="B21" s="4"/>
      <c r="C21" s="4"/>
      <c r="D21" s="4"/>
      <c r="E21" s="4"/>
      <c r="F21" s="4"/>
      <c r="G21" s="25"/>
      <c r="H21" s="4"/>
      <c r="I21" s="4"/>
    </row>
    <row r="22" spans="1:20" s="4" customFormat="1" x14ac:dyDescent="0.4">
      <c r="A22"/>
      <c r="B22"/>
      <c r="C22"/>
      <c r="D22"/>
      <c r="E22"/>
      <c r="F22"/>
      <c r="G22" s="27"/>
      <c r="H22"/>
      <c r="I22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4">
      <c r="A23" s="4"/>
      <c r="B23" s="4"/>
      <c r="C23" s="4"/>
      <c r="D23" s="4"/>
      <c r="E23" s="4"/>
      <c r="F23" s="4"/>
      <c r="G23" s="25"/>
      <c r="H23" s="4"/>
      <c r="I23" s="4"/>
    </row>
    <row r="24" spans="1:20" s="4" customFormat="1" x14ac:dyDescent="0.4">
      <c r="A24"/>
      <c r="B24"/>
      <c r="C24"/>
      <c r="D24"/>
      <c r="E24"/>
      <c r="F24"/>
      <c r="G24" s="27"/>
      <c r="H24"/>
      <c r="I24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4">
      <c r="A25" s="4"/>
      <c r="B25" s="4"/>
      <c r="C25" s="4"/>
      <c r="D25" s="4"/>
      <c r="E25" s="4"/>
      <c r="F25" s="4"/>
      <c r="G25" s="25"/>
      <c r="H25" s="4"/>
      <c r="I25" s="4"/>
    </row>
    <row r="26" spans="1:20" s="4" customFormat="1" x14ac:dyDescent="0.4">
      <c r="A26"/>
      <c r="B26"/>
      <c r="C26"/>
      <c r="D26"/>
      <c r="E26"/>
      <c r="F26"/>
      <c r="G26" s="27"/>
      <c r="H26"/>
      <c r="I2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4">
      <c r="A27" s="4"/>
      <c r="B27" s="4"/>
      <c r="C27" s="4"/>
      <c r="D27" s="4"/>
      <c r="E27" s="4"/>
      <c r="F27" s="4"/>
      <c r="G27" s="25"/>
      <c r="H27" s="4"/>
      <c r="I27" s="4"/>
    </row>
    <row r="28" spans="1:20" s="4" customFormat="1" x14ac:dyDescent="0.4">
      <c r="A28"/>
      <c r="B28"/>
      <c r="C28"/>
      <c r="D28"/>
      <c r="E28"/>
      <c r="F28"/>
      <c r="G28" s="27"/>
      <c r="H28"/>
      <c r="I2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4">
      <c r="A29" s="4"/>
      <c r="B29" s="4"/>
      <c r="C29" s="4"/>
      <c r="D29" s="4"/>
      <c r="E29" s="4"/>
      <c r="F29" s="4"/>
      <c r="G29" s="25"/>
      <c r="H29" s="4"/>
      <c r="I29" s="4"/>
    </row>
    <row r="30" spans="1:20" s="4" customFormat="1" x14ac:dyDescent="0.4">
      <c r="A30"/>
      <c r="B30"/>
      <c r="C30"/>
      <c r="D30"/>
      <c r="E30"/>
      <c r="F30"/>
      <c r="G30" s="27"/>
      <c r="H30"/>
      <c r="I3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4">
      <c r="A31" s="4"/>
      <c r="B31" s="4"/>
      <c r="C31" s="4"/>
      <c r="D31" s="4"/>
      <c r="E31" s="4"/>
      <c r="F31" s="4"/>
      <c r="G31" s="25"/>
      <c r="H31" s="4"/>
      <c r="I31" s="4"/>
    </row>
    <row r="32" spans="1:20" s="4" customFormat="1" x14ac:dyDescent="0.4">
      <c r="A32"/>
      <c r="B32"/>
      <c r="C32"/>
      <c r="D32"/>
      <c r="E32"/>
      <c r="F32"/>
      <c r="G32" s="27"/>
      <c r="H32"/>
      <c r="I32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4">
      <c r="A33" s="4"/>
      <c r="B33" s="4"/>
      <c r="C33" s="4"/>
      <c r="D33" s="4"/>
      <c r="E33" s="4"/>
      <c r="F33" s="4"/>
      <c r="G33" s="25"/>
      <c r="H33" s="4"/>
      <c r="I33" s="4"/>
    </row>
    <row r="34" spans="1:20" s="4" customFormat="1" x14ac:dyDescent="0.4">
      <c r="A34"/>
      <c r="B34"/>
      <c r="C34"/>
      <c r="D34"/>
      <c r="E34"/>
      <c r="F34"/>
      <c r="G34" s="27"/>
      <c r="H34"/>
      <c r="I34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4">
      <c r="A35" s="4"/>
      <c r="B35" s="4"/>
      <c r="C35" s="4"/>
      <c r="D35" s="4"/>
      <c r="E35" s="4"/>
      <c r="F35" s="4"/>
      <c r="G35" s="25"/>
      <c r="H35" s="4"/>
      <c r="I35" s="4"/>
    </row>
    <row r="36" spans="1:20" s="4" customFormat="1" x14ac:dyDescent="0.4">
      <c r="A36"/>
      <c r="B36"/>
      <c r="C36"/>
      <c r="D36"/>
      <c r="E36"/>
      <c r="F36"/>
      <c r="G36" s="27"/>
      <c r="H36"/>
      <c r="I3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4">
      <c r="A37" s="4"/>
      <c r="B37" s="4"/>
      <c r="C37" s="4"/>
      <c r="D37" s="4"/>
      <c r="E37" s="4"/>
      <c r="F37" s="4"/>
      <c r="G37" s="25"/>
      <c r="H37" s="4"/>
      <c r="I37" s="4"/>
    </row>
    <row r="38" spans="1:20" s="4" customFormat="1" x14ac:dyDescent="0.4">
      <c r="A38"/>
      <c r="B38"/>
      <c r="C38"/>
      <c r="D38"/>
      <c r="E38"/>
      <c r="F38"/>
      <c r="G38" s="27"/>
      <c r="H38"/>
      <c r="I3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4">
      <c r="A39" s="4"/>
      <c r="B39" s="4"/>
      <c r="C39" s="4"/>
      <c r="D39" s="4"/>
      <c r="E39" s="4"/>
      <c r="F39" s="4"/>
      <c r="G39" s="25"/>
      <c r="H39" s="4"/>
      <c r="I39" s="4"/>
    </row>
    <row r="40" spans="1:20" s="4" customFormat="1" x14ac:dyDescent="0.4">
      <c r="A40"/>
      <c r="B40"/>
      <c r="C40"/>
      <c r="D40"/>
      <c r="E40"/>
      <c r="F40"/>
      <c r="G40" s="27"/>
      <c r="H40"/>
      <c r="I40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4">
      <c r="A41" s="4"/>
      <c r="B41" s="4"/>
      <c r="C41" s="4"/>
      <c r="D41" s="4"/>
      <c r="E41" s="4"/>
      <c r="F41" s="4"/>
      <c r="G41" s="25"/>
      <c r="H41" s="4"/>
      <c r="I41" s="4"/>
    </row>
    <row r="42" spans="1:20" s="4" customFormat="1" x14ac:dyDescent="0.4">
      <c r="A42"/>
      <c r="B42"/>
      <c r="C42"/>
      <c r="D42"/>
      <c r="E42"/>
      <c r="F42"/>
      <c r="G42" s="27"/>
      <c r="H42"/>
      <c r="I42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4">
      <c r="A43" s="4"/>
      <c r="B43" s="4"/>
      <c r="C43" s="4"/>
      <c r="D43" s="4"/>
      <c r="E43" s="4"/>
      <c r="F43" s="4"/>
      <c r="G43" s="25"/>
      <c r="H43" s="4"/>
      <c r="I43" s="4"/>
    </row>
    <row r="44" spans="1:20" s="4" customFormat="1" x14ac:dyDescent="0.4">
      <c r="A44"/>
      <c r="B44"/>
      <c r="C44"/>
      <c r="D44"/>
      <c r="E44"/>
      <c r="F44"/>
      <c r="G44" s="27"/>
      <c r="H44"/>
      <c r="I44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4">
      <c r="A45" s="4"/>
      <c r="B45" s="4"/>
      <c r="C45" s="4"/>
      <c r="D45" s="4"/>
      <c r="E45" s="4"/>
      <c r="F45" s="4"/>
      <c r="G45" s="25"/>
      <c r="H45" s="4"/>
      <c r="I45" s="4"/>
    </row>
    <row r="46" spans="1:20" s="4" customFormat="1" x14ac:dyDescent="0.4">
      <c r="A46"/>
      <c r="B46"/>
      <c r="C46"/>
      <c r="D46"/>
      <c r="E46"/>
      <c r="F46"/>
      <c r="G46" s="27"/>
      <c r="H46"/>
      <c r="I46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4">
      <c r="A47" s="4"/>
      <c r="B47" s="4"/>
      <c r="C47" s="4"/>
      <c r="D47" s="4"/>
      <c r="E47" s="4"/>
      <c r="F47" s="4"/>
      <c r="G47" s="25"/>
      <c r="H47" s="4"/>
      <c r="I47" s="4"/>
    </row>
    <row r="48" spans="1:20" s="4" customFormat="1" x14ac:dyDescent="0.4">
      <c r="A48"/>
      <c r="B48"/>
      <c r="C48"/>
      <c r="D48"/>
      <c r="E48"/>
      <c r="F48"/>
      <c r="G48" s="27"/>
      <c r="H48"/>
      <c r="I4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4">
      <c r="A49" s="4"/>
      <c r="B49" s="4"/>
      <c r="C49" s="4"/>
      <c r="D49" s="4"/>
      <c r="E49" s="4"/>
      <c r="F49" s="4"/>
      <c r="G49" s="25"/>
      <c r="H49" s="4"/>
      <c r="I49" s="4"/>
    </row>
    <row r="50" spans="1:20" s="4" customFormat="1" x14ac:dyDescent="0.4">
      <c r="A50"/>
      <c r="B50"/>
      <c r="C50"/>
      <c r="D50"/>
      <c r="E50"/>
      <c r="F50"/>
      <c r="G50" s="27"/>
      <c r="H50"/>
      <c r="I50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4">
      <c r="A51" s="4"/>
      <c r="B51" s="4"/>
      <c r="C51" s="4"/>
      <c r="D51" s="4"/>
      <c r="E51" s="4"/>
      <c r="F51" s="4"/>
      <c r="G51" s="25"/>
      <c r="H51" s="4"/>
      <c r="I51" s="4"/>
    </row>
    <row r="52" spans="1:20" s="4" customFormat="1" x14ac:dyDescent="0.4">
      <c r="A52"/>
      <c r="B52"/>
      <c r="C52"/>
      <c r="D52"/>
      <c r="E52"/>
      <c r="F52"/>
      <c r="G52" s="27"/>
      <c r="H52"/>
      <c r="I52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4">
      <c r="A53" s="4"/>
      <c r="B53" s="4"/>
      <c r="C53" s="4"/>
      <c r="D53" s="4"/>
      <c r="E53" s="4"/>
      <c r="F53" s="4"/>
      <c r="G53" s="25"/>
      <c r="H53" s="4"/>
      <c r="I53" s="4"/>
    </row>
    <row r="54" spans="1:20" s="4" customFormat="1" x14ac:dyDescent="0.4">
      <c r="A54"/>
      <c r="B54"/>
      <c r="C54"/>
      <c r="D54"/>
      <c r="E54"/>
      <c r="F54"/>
      <c r="G54" s="27"/>
      <c r="H54"/>
      <c r="I54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4">
      <c r="A55" s="4"/>
      <c r="B55" s="4"/>
      <c r="C55" s="4"/>
      <c r="D55" s="4"/>
      <c r="E55" s="4"/>
      <c r="F55" s="4"/>
      <c r="G55" s="25"/>
      <c r="H55" s="4"/>
      <c r="I55" s="4"/>
    </row>
    <row r="56" spans="1:20" s="4" customFormat="1" x14ac:dyDescent="0.4">
      <c r="A56"/>
      <c r="B56"/>
      <c r="C56"/>
      <c r="D56"/>
      <c r="E56"/>
      <c r="F56"/>
      <c r="G56" s="27"/>
      <c r="H56"/>
      <c r="I56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4">
      <c r="A57" s="4"/>
      <c r="B57" s="4"/>
      <c r="C57" s="4"/>
      <c r="D57" s="4"/>
      <c r="E57" s="4"/>
      <c r="F57" s="4"/>
      <c r="G57" s="25"/>
      <c r="H57" s="4"/>
      <c r="I57" s="4"/>
    </row>
    <row r="58" spans="1:20" s="4" customFormat="1" x14ac:dyDescent="0.4">
      <c r="A58"/>
      <c r="B58"/>
      <c r="C58"/>
      <c r="D58"/>
      <c r="E58"/>
      <c r="F58"/>
      <c r="G58" s="27"/>
      <c r="H58"/>
      <c r="I5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4">
      <c r="A59" s="4"/>
      <c r="B59" s="4"/>
      <c r="C59" s="4"/>
      <c r="D59" s="4"/>
      <c r="E59" s="4"/>
      <c r="F59" s="4"/>
      <c r="G59" s="25"/>
      <c r="H59" s="4"/>
      <c r="I59" s="4"/>
    </row>
    <row r="60" spans="1:20" s="4" customFormat="1" x14ac:dyDescent="0.4">
      <c r="A60"/>
      <c r="B60"/>
      <c r="C60"/>
      <c r="D60"/>
      <c r="E60"/>
      <c r="F60"/>
      <c r="G60" s="27"/>
      <c r="H60"/>
      <c r="I6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4">
      <c r="A61" s="4"/>
      <c r="B61" s="4"/>
      <c r="C61" s="4"/>
      <c r="D61" s="4"/>
      <c r="E61" s="4"/>
      <c r="F61" s="4"/>
      <c r="G61" s="25"/>
      <c r="H61" s="4"/>
      <c r="I61" s="4"/>
    </row>
    <row r="62" spans="1:20" s="4" customFormat="1" x14ac:dyDescent="0.4">
      <c r="A62"/>
      <c r="B62"/>
      <c r="C62"/>
      <c r="D62"/>
      <c r="E62"/>
      <c r="F62"/>
      <c r="G62" s="27"/>
      <c r="H62"/>
      <c r="I62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4">
      <c r="A63" s="4"/>
      <c r="B63" s="4"/>
      <c r="C63" s="4"/>
      <c r="D63" s="4"/>
      <c r="E63" s="4"/>
      <c r="F63" s="4"/>
      <c r="G63" s="25"/>
      <c r="H63" s="4"/>
      <c r="I63" s="4"/>
    </row>
    <row r="64" spans="1:20" s="4" customFormat="1" x14ac:dyDescent="0.4">
      <c r="A64"/>
      <c r="B64"/>
      <c r="C64"/>
      <c r="D64"/>
      <c r="E64"/>
      <c r="F64"/>
      <c r="G64" s="27"/>
      <c r="H64"/>
      <c r="I64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3.5" customHeight="1" x14ac:dyDescent="0.4">
      <c r="A65" s="4"/>
      <c r="B65" s="4"/>
      <c r="C65" s="4"/>
      <c r="D65" s="4"/>
      <c r="E65" s="4"/>
      <c r="F65" s="4"/>
      <c r="G65" s="25"/>
      <c r="H65" s="4"/>
      <c r="I65" s="4"/>
    </row>
    <row r="66" spans="1:20" s="4" customFormat="1" x14ac:dyDescent="0.4">
      <c r="A66"/>
      <c r="B66"/>
      <c r="C66"/>
      <c r="D66"/>
      <c r="E66"/>
      <c r="F66"/>
      <c r="G66" s="27"/>
      <c r="H66"/>
      <c r="I6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4">
      <c r="A67" s="4"/>
      <c r="B67" s="4"/>
      <c r="C67" s="4"/>
      <c r="D67" s="4"/>
      <c r="E67" s="4"/>
      <c r="F67" s="4"/>
      <c r="G67" s="25"/>
      <c r="H67" s="4"/>
      <c r="I67" s="4"/>
    </row>
    <row r="68" spans="1:20" s="4" customFormat="1" x14ac:dyDescent="0.4">
      <c r="A68"/>
      <c r="B68"/>
      <c r="C68"/>
      <c r="D68"/>
      <c r="E68"/>
      <c r="F68"/>
      <c r="G68" s="27"/>
      <c r="H68"/>
      <c r="I6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4">
      <c r="A69" s="4"/>
      <c r="B69" s="4"/>
      <c r="C69" s="4"/>
      <c r="D69" s="4"/>
      <c r="E69" s="4"/>
      <c r="F69" s="4"/>
      <c r="G69" s="25"/>
      <c r="H69" s="4"/>
      <c r="I69" s="4"/>
    </row>
    <row r="70" spans="1:20" s="4" customFormat="1" x14ac:dyDescent="0.4">
      <c r="A70"/>
      <c r="B70"/>
      <c r="C70"/>
      <c r="D70"/>
      <c r="E70"/>
      <c r="F70"/>
      <c r="G70" s="27"/>
      <c r="H70"/>
      <c r="I7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4">
      <c r="A71" s="4"/>
      <c r="B71" s="4"/>
      <c r="C71" s="4"/>
      <c r="D71" s="4"/>
      <c r="E71" s="4"/>
      <c r="F71" s="4"/>
      <c r="G71" s="25"/>
      <c r="H71" s="4"/>
      <c r="I71" s="4"/>
    </row>
    <row r="72" spans="1:20" s="4" customFormat="1" x14ac:dyDescent="0.4">
      <c r="A72"/>
      <c r="B72"/>
      <c r="C72"/>
      <c r="D72"/>
      <c r="E72"/>
      <c r="F72"/>
      <c r="G72" s="27"/>
      <c r="H72"/>
      <c r="I72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4">
      <c r="A73" s="4"/>
      <c r="B73" s="4"/>
      <c r="C73" s="4"/>
      <c r="D73" s="4"/>
      <c r="E73" s="4"/>
      <c r="F73" s="4"/>
      <c r="G73" s="25"/>
      <c r="H73" s="4"/>
      <c r="I73" s="4"/>
    </row>
    <row r="74" spans="1:20" s="4" customFormat="1" x14ac:dyDescent="0.4">
      <c r="A74"/>
      <c r="B74"/>
      <c r="C74"/>
      <c r="D74"/>
      <c r="E74"/>
      <c r="F74"/>
      <c r="G74" s="27"/>
      <c r="H74"/>
      <c r="I74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4">
      <c r="A75" s="4"/>
      <c r="B75" s="4"/>
      <c r="C75" s="4"/>
      <c r="D75" s="4"/>
      <c r="E75" s="4"/>
      <c r="F75" s="4"/>
      <c r="G75" s="25"/>
      <c r="H75" s="4"/>
      <c r="I75" s="4"/>
    </row>
    <row r="76" spans="1:20" s="4" customFormat="1" x14ac:dyDescent="0.4">
      <c r="A76"/>
      <c r="B76"/>
      <c r="C76"/>
      <c r="D76"/>
      <c r="E76"/>
      <c r="F76"/>
      <c r="G76" s="27"/>
      <c r="H76"/>
      <c r="I7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4">
      <c r="A77" s="4"/>
      <c r="B77" s="4"/>
      <c r="C77" s="4"/>
      <c r="D77" s="4"/>
      <c r="E77" s="4"/>
      <c r="F77" s="4"/>
      <c r="G77" s="25"/>
      <c r="H77" s="4"/>
      <c r="I77" s="4"/>
    </row>
    <row r="78" spans="1:20" s="4" customFormat="1" x14ac:dyDescent="0.4">
      <c r="A78"/>
      <c r="B78"/>
      <c r="C78"/>
      <c r="D78"/>
      <c r="E78"/>
      <c r="F78"/>
      <c r="G78" s="27"/>
      <c r="H78"/>
      <c r="I7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4">
      <c r="A79" s="4"/>
      <c r="B79" s="4"/>
      <c r="C79" s="4"/>
      <c r="D79" s="4"/>
      <c r="E79" s="4"/>
      <c r="F79" s="4"/>
      <c r="G79" s="25"/>
      <c r="H79" s="4"/>
      <c r="I79" s="4"/>
    </row>
    <row r="80" spans="1:20" s="4" customFormat="1" x14ac:dyDescent="0.4">
      <c r="A80"/>
      <c r="B80"/>
      <c r="C80"/>
      <c r="D80"/>
      <c r="E80"/>
      <c r="F80"/>
      <c r="G80" s="27"/>
      <c r="H80"/>
      <c r="I8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4">
      <c r="A81" s="4"/>
      <c r="B81" s="4"/>
      <c r="C81" s="4"/>
      <c r="D81" s="4"/>
      <c r="E81" s="4"/>
      <c r="F81" s="4"/>
      <c r="G81" s="25"/>
      <c r="H81" s="4"/>
      <c r="I81" s="4"/>
    </row>
    <row r="82" spans="1:20" s="4" customFormat="1" x14ac:dyDescent="0.4">
      <c r="A82"/>
      <c r="B82"/>
      <c r="C82"/>
      <c r="D82"/>
      <c r="E82"/>
      <c r="F82"/>
      <c r="G82" s="27"/>
      <c r="H82"/>
      <c r="I82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4">
      <c r="A83" s="4"/>
      <c r="B83" s="4"/>
      <c r="C83" s="4"/>
      <c r="D83" s="4"/>
      <c r="E83" s="4"/>
      <c r="F83" s="4"/>
      <c r="G83" s="25"/>
      <c r="H83" s="4"/>
      <c r="I83" s="4"/>
    </row>
    <row r="84" spans="1:20" s="4" customFormat="1" x14ac:dyDescent="0.4">
      <c r="A84"/>
      <c r="B84"/>
      <c r="C84"/>
      <c r="D84"/>
      <c r="E84"/>
      <c r="F84"/>
      <c r="G84" s="27"/>
      <c r="H84"/>
      <c r="I84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4">
      <c r="A85" s="4"/>
      <c r="B85" s="4"/>
      <c r="C85" s="4"/>
      <c r="D85" s="4"/>
      <c r="E85" s="4"/>
      <c r="F85" s="4"/>
      <c r="G85" s="25"/>
      <c r="H85" s="4"/>
      <c r="I85" s="4"/>
    </row>
    <row r="86" spans="1:20" s="4" customFormat="1" x14ac:dyDescent="0.4">
      <c r="A86"/>
      <c r="B86"/>
      <c r="C86"/>
      <c r="D86"/>
      <c r="E86"/>
      <c r="F86"/>
      <c r="G86" s="27"/>
      <c r="H86"/>
      <c r="I86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4">
      <c r="A87" s="4"/>
      <c r="B87" s="4"/>
      <c r="C87" s="4"/>
      <c r="D87" s="4"/>
      <c r="E87" s="4"/>
      <c r="F87" s="4"/>
      <c r="G87" s="25"/>
      <c r="H87" s="4"/>
      <c r="I87" s="4"/>
    </row>
    <row r="88" spans="1:20" s="4" customFormat="1" x14ac:dyDescent="0.4">
      <c r="A88"/>
      <c r="B88"/>
      <c r="C88"/>
      <c r="D88"/>
      <c r="E88"/>
      <c r="F88"/>
      <c r="G88" s="27"/>
      <c r="H88"/>
      <c r="I8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4">
      <c r="A89" s="4"/>
      <c r="B89" s="4"/>
      <c r="C89" s="4"/>
      <c r="D89" s="4"/>
      <c r="E89" s="4"/>
      <c r="F89" s="4"/>
      <c r="G89" s="25"/>
      <c r="H89" s="4"/>
      <c r="I89" s="4"/>
    </row>
    <row r="90" spans="1:20" s="4" customFormat="1" x14ac:dyDescent="0.4">
      <c r="A90"/>
      <c r="B90"/>
      <c r="C90"/>
      <c r="D90"/>
      <c r="E90"/>
      <c r="F90"/>
      <c r="G90" s="27"/>
      <c r="H90"/>
      <c r="I9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4">
      <c r="A91" s="4"/>
      <c r="B91" s="4"/>
      <c r="C91" s="4"/>
      <c r="D91" s="4"/>
      <c r="E91" s="4"/>
      <c r="F91" s="4"/>
      <c r="G91" s="25"/>
      <c r="H91" s="4"/>
      <c r="I91" s="4"/>
    </row>
    <row r="92" spans="1:20" s="4" customFormat="1" x14ac:dyDescent="0.4">
      <c r="A92"/>
      <c r="B92"/>
      <c r="C92"/>
      <c r="D92"/>
      <c r="E92"/>
      <c r="F92"/>
      <c r="G92" s="27"/>
      <c r="H92"/>
      <c r="I92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4">
      <c r="A93" s="4"/>
      <c r="B93" s="4"/>
      <c r="C93" s="4"/>
      <c r="D93" s="4"/>
      <c r="E93" s="4"/>
      <c r="F93" s="4"/>
      <c r="G93" s="25"/>
      <c r="H93" s="4"/>
      <c r="I93" s="4"/>
    </row>
    <row r="94" spans="1:20" s="4" customFormat="1" x14ac:dyDescent="0.4">
      <c r="A94"/>
      <c r="B94"/>
      <c r="C94"/>
      <c r="D94"/>
      <c r="E94"/>
      <c r="F94"/>
      <c r="G94" s="27"/>
      <c r="H94"/>
      <c r="I94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4">
      <c r="A95" s="4"/>
      <c r="B95" s="4"/>
      <c r="C95" s="4"/>
      <c r="D95" s="4"/>
      <c r="E95" s="4"/>
      <c r="F95" s="4"/>
      <c r="G95" s="25"/>
      <c r="H95" s="4"/>
      <c r="I95" s="4"/>
    </row>
    <row r="96" spans="1:20" s="4" customFormat="1" x14ac:dyDescent="0.4">
      <c r="A96"/>
      <c r="B96"/>
      <c r="C96"/>
      <c r="D96"/>
      <c r="E96"/>
      <c r="F96"/>
      <c r="G96" s="27"/>
      <c r="H96"/>
      <c r="I96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4">
      <c r="A97" s="4"/>
      <c r="B97" s="4"/>
      <c r="C97" s="4"/>
      <c r="D97" s="4"/>
      <c r="E97" s="4"/>
      <c r="F97" s="4"/>
      <c r="G97" s="25"/>
      <c r="H97" s="4"/>
      <c r="I97" s="4"/>
    </row>
    <row r="98" spans="1:20" s="4" customFormat="1" x14ac:dyDescent="0.4">
      <c r="A98"/>
      <c r="B98"/>
      <c r="C98"/>
      <c r="D98"/>
      <c r="E98"/>
      <c r="F98"/>
      <c r="G98" s="27"/>
      <c r="H98"/>
      <c r="I9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4">
      <c r="A99" s="4"/>
      <c r="B99" s="4"/>
      <c r="C99" s="4"/>
      <c r="D99" s="4"/>
      <c r="E99" s="4"/>
      <c r="F99" s="4"/>
      <c r="G99" s="25"/>
      <c r="H99" s="4"/>
      <c r="I99" s="4"/>
    </row>
    <row r="100" spans="1:20" s="4" customFormat="1" x14ac:dyDescent="0.4">
      <c r="A100"/>
      <c r="B100"/>
      <c r="C100"/>
      <c r="D100"/>
      <c r="E100"/>
      <c r="F100"/>
      <c r="G100" s="27"/>
      <c r="H100"/>
      <c r="I10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 x14ac:dyDescent="0.4">
      <c r="A101" s="4"/>
      <c r="B101" s="4"/>
      <c r="C101" s="4"/>
      <c r="D101" s="4"/>
      <c r="E101" s="4"/>
      <c r="F101" s="4"/>
      <c r="G101" s="25"/>
      <c r="H101" s="4"/>
      <c r="I101" s="4"/>
    </row>
    <row r="102" spans="1:20" s="4" customFormat="1" x14ac:dyDescent="0.4">
      <c r="A102"/>
      <c r="B102"/>
      <c r="C102"/>
      <c r="D102"/>
      <c r="E102"/>
      <c r="F102"/>
      <c r="G102" s="27"/>
      <c r="H102"/>
      <c r="I102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spans="1:20" x14ac:dyDescent="0.4">
      <c r="A103" s="4"/>
      <c r="B103" s="4"/>
      <c r="C103" s="4"/>
      <c r="D103" s="4"/>
      <c r="E103" s="4"/>
      <c r="F103" s="4"/>
      <c r="G103" s="25"/>
      <c r="H103" s="4"/>
      <c r="I103" s="4"/>
    </row>
    <row r="104" spans="1:20" s="4" customFormat="1" x14ac:dyDescent="0.4">
      <c r="A104"/>
      <c r="B104"/>
      <c r="C104"/>
      <c r="D104"/>
      <c r="E104"/>
      <c r="F104"/>
      <c r="G104" s="27"/>
      <c r="H104"/>
      <c r="I104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spans="1:20" ht="14.25" customHeight="1" x14ac:dyDescent="0.4">
      <c r="A105" s="4"/>
      <c r="B105" s="4"/>
      <c r="C105" s="4"/>
      <c r="D105" s="4"/>
      <c r="E105" s="4"/>
      <c r="F105" s="4"/>
      <c r="G105" s="25"/>
      <c r="H105" s="4"/>
      <c r="I105" s="4"/>
    </row>
    <row r="106" spans="1:20" s="4" customFormat="1" x14ac:dyDescent="0.4">
      <c r="A106"/>
      <c r="B106"/>
      <c r="C106"/>
      <c r="D106"/>
      <c r="E106"/>
      <c r="F106"/>
      <c r="G106" s="27"/>
      <c r="H106"/>
      <c r="I106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x14ac:dyDescent="0.4">
      <c r="A107" s="4"/>
      <c r="B107" s="4"/>
      <c r="C107" s="4"/>
      <c r="D107" s="4"/>
      <c r="E107" s="4"/>
      <c r="F107" s="4"/>
      <c r="G107" s="25"/>
      <c r="H107" s="4"/>
      <c r="I107" s="4"/>
    </row>
    <row r="108" spans="1:20" s="4" customFormat="1" x14ac:dyDescent="0.4">
      <c r="A108"/>
      <c r="B108"/>
      <c r="C108"/>
      <c r="D108"/>
      <c r="E108"/>
      <c r="F108"/>
      <c r="G108" s="27"/>
      <c r="H108"/>
      <c r="I10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spans="1:20" x14ac:dyDescent="0.4">
      <c r="A109" s="4"/>
      <c r="B109" s="4"/>
      <c r="C109" s="4"/>
      <c r="D109" s="4"/>
      <c r="E109" s="4"/>
      <c r="F109" s="4"/>
      <c r="G109" s="25"/>
      <c r="H109" s="4"/>
      <c r="I109" s="4"/>
    </row>
    <row r="110" spans="1:20" s="4" customFormat="1" x14ac:dyDescent="0.4">
      <c r="A110"/>
      <c r="B110"/>
      <c r="C110"/>
      <c r="D110"/>
      <c r="E110"/>
      <c r="F110"/>
      <c r="G110" s="27"/>
      <c r="H110"/>
      <c r="I110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1:20" x14ac:dyDescent="0.4">
      <c r="A111" s="4"/>
      <c r="B111" s="4"/>
      <c r="C111" s="4"/>
      <c r="D111" s="4"/>
      <c r="E111" s="4"/>
      <c r="F111" s="4"/>
      <c r="G111" s="25"/>
      <c r="H111" s="4"/>
      <c r="I111" s="4"/>
    </row>
    <row r="112" spans="1:20" s="4" customFormat="1" x14ac:dyDescent="0.4">
      <c r="A112"/>
      <c r="B112"/>
      <c r="C112"/>
      <c r="D112"/>
      <c r="E112"/>
      <c r="F112"/>
      <c r="G112" s="27"/>
      <c r="H112"/>
      <c r="I112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spans="1:20" x14ac:dyDescent="0.4">
      <c r="A113" s="4"/>
      <c r="B113" s="4"/>
      <c r="C113" s="4"/>
      <c r="D113" s="4"/>
      <c r="E113" s="4"/>
      <c r="F113" s="4"/>
      <c r="G113" s="25"/>
      <c r="H113" s="4"/>
      <c r="I113" s="4"/>
    </row>
    <row r="114" spans="1:20" s="4" customFormat="1" x14ac:dyDescent="0.4">
      <c r="A114"/>
      <c r="B114"/>
      <c r="C114"/>
      <c r="D114"/>
      <c r="E114"/>
      <c r="F114"/>
      <c r="G114" s="27"/>
      <c r="H114"/>
      <c r="I114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1:20" x14ac:dyDescent="0.4">
      <c r="A115" s="4"/>
      <c r="B115" s="4"/>
      <c r="C115" s="4"/>
      <c r="D115" s="4"/>
      <c r="E115" s="4"/>
      <c r="F115" s="4"/>
      <c r="G115" s="25"/>
      <c r="H115" s="4"/>
      <c r="I115" s="4"/>
    </row>
    <row r="116" spans="1:20" s="4" customFormat="1" x14ac:dyDescent="0.4">
      <c r="A116"/>
      <c r="B116"/>
      <c r="C116"/>
      <c r="D116"/>
      <c r="E116"/>
      <c r="F116"/>
      <c r="G116" s="27"/>
      <c r="H116"/>
      <c r="I116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1:20" x14ac:dyDescent="0.4">
      <c r="A117" s="4"/>
      <c r="B117" s="4"/>
      <c r="C117" s="4"/>
      <c r="D117" s="4"/>
      <c r="E117" s="4"/>
      <c r="F117" s="4"/>
      <c r="G117" s="25"/>
      <c r="H117" s="4"/>
      <c r="I117" s="4"/>
    </row>
    <row r="118" spans="1:20" s="4" customFormat="1" x14ac:dyDescent="0.4">
      <c r="A118"/>
      <c r="B118"/>
      <c r="C118"/>
      <c r="D118"/>
      <c r="E118"/>
      <c r="F118"/>
      <c r="G118" s="27"/>
      <c r="H118"/>
      <c r="I11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1:20" x14ac:dyDescent="0.4">
      <c r="A119" s="4"/>
      <c r="B119" s="4"/>
      <c r="C119" s="4"/>
      <c r="D119" s="4"/>
      <c r="E119" s="4"/>
      <c r="F119" s="4"/>
      <c r="G119" s="25"/>
      <c r="H119" s="4"/>
      <c r="I119" s="4"/>
    </row>
    <row r="120" spans="1:20" s="4" customFormat="1" x14ac:dyDescent="0.4">
      <c r="A120"/>
      <c r="B120"/>
      <c r="C120"/>
      <c r="D120"/>
      <c r="E120"/>
      <c r="F120"/>
      <c r="G120" s="27"/>
      <c r="H120"/>
      <c r="I12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spans="1:20" x14ac:dyDescent="0.4">
      <c r="A121" s="4"/>
      <c r="B121" s="4"/>
      <c r="C121" s="4"/>
      <c r="D121" s="4"/>
      <c r="E121" s="4"/>
      <c r="F121" s="4"/>
      <c r="G121" s="25"/>
      <c r="H121" s="4"/>
      <c r="I121" s="4"/>
    </row>
    <row r="122" spans="1:20" s="4" customFormat="1" x14ac:dyDescent="0.4">
      <c r="A122"/>
      <c r="B122"/>
      <c r="C122"/>
      <c r="D122"/>
      <c r="E122"/>
      <c r="F122"/>
      <c r="G122" s="27"/>
      <c r="H122"/>
      <c r="I122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1:20" x14ac:dyDescent="0.4">
      <c r="A123" s="4"/>
      <c r="B123" s="4"/>
      <c r="C123" s="4"/>
      <c r="D123" s="4"/>
      <c r="E123" s="4"/>
      <c r="F123" s="4"/>
      <c r="G123" s="25"/>
      <c r="H123" s="4"/>
      <c r="I123" s="4"/>
    </row>
    <row r="124" spans="1:20" s="4" customFormat="1" x14ac:dyDescent="0.4">
      <c r="A124"/>
      <c r="B124"/>
      <c r="C124"/>
      <c r="D124"/>
      <c r="E124"/>
      <c r="F124"/>
      <c r="G124" s="27"/>
      <c r="H124"/>
      <c r="I124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1:20" x14ac:dyDescent="0.4">
      <c r="A125" s="4"/>
      <c r="B125" s="4"/>
      <c r="C125" s="4"/>
      <c r="D125" s="4"/>
      <c r="E125" s="4"/>
      <c r="F125" s="4"/>
      <c r="G125" s="25"/>
      <c r="H125" s="4"/>
      <c r="I125" s="4"/>
    </row>
    <row r="126" spans="1:20" s="4" customFormat="1" x14ac:dyDescent="0.4">
      <c r="A126"/>
      <c r="B126"/>
      <c r="C126"/>
      <c r="D126"/>
      <c r="E126"/>
      <c r="F126"/>
      <c r="G126" s="27"/>
      <c r="H126"/>
      <c r="I12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1:20" x14ac:dyDescent="0.4">
      <c r="A127" s="4"/>
      <c r="B127" s="4"/>
      <c r="C127" s="4"/>
      <c r="D127" s="4"/>
      <c r="E127" s="4"/>
      <c r="F127" s="4"/>
      <c r="G127" s="25"/>
      <c r="H127" s="4"/>
      <c r="I127" s="4"/>
    </row>
    <row r="128" spans="1:20" s="4" customFormat="1" x14ac:dyDescent="0.4">
      <c r="A128"/>
      <c r="B128"/>
      <c r="C128"/>
      <c r="D128"/>
      <c r="E128"/>
      <c r="F128"/>
      <c r="G128" s="27"/>
      <c r="H128"/>
      <c r="I12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spans="1:20" x14ac:dyDescent="0.4">
      <c r="A129" s="4"/>
      <c r="B129" s="4"/>
      <c r="C129" s="4"/>
      <c r="D129" s="4"/>
      <c r="E129" s="4"/>
      <c r="F129" s="4"/>
      <c r="G129" s="25"/>
      <c r="H129" s="4"/>
      <c r="I129" s="4"/>
    </row>
    <row r="130" spans="1:20" s="4" customFormat="1" x14ac:dyDescent="0.4">
      <c r="A130"/>
      <c r="B130"/>
      <c r="C130"/>
      <c r="D130"/>
      <c r="E130"/>
      <c r="F130"/>
      <c r="G130" s="27"/>
      <c r="H130"/>
      <c r="I130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spans="1:20" x14ac:dyDescent="0.4">
      <c r="A131" s="4"/>
      <c r="B131" s="4"/>
      <c r="C131" s="4"/>
      <c r="D131" s="4"/>
      <c r="E131" s="4"/>
      <c r="F131" s="4"/>
      <c r="G131" s="25"/>
      <c r="H131" s="4"/>
      <c r="I131" s="4"/>
    </row>
    <row r="132" spans="1:20" s="4" customFormat="1" x14ac:dyDescent="0.4">
      <c r="A132"/>
      <c r="B132"/>
      <c r="C132"/>
      <c r="D132"/>
      <c r="E132"/>
      <c r="F132"/>
      <c r="G132" s="27"/>
      <c r="H132"/>
      <c r="I132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spans="1:20" x14ac:dyDescent="0.4">
      <c r="A133" s="4"/>
      <c r="B133" s="4"/>
      <c r="C133" s="4"/>
      <c r="D133" s="4"/>
      <c r="E133" s="4"/>
      <c r="F133" s="4"/>
      <c r="G133" s="25"/>
      <c r="H133" s="4"/>
      <c r="I133" s="4"/>
    </row>
    <row r="134" spans="1:20" s="4" customFormat="1" x14ac:dyDescent="0.4">
      <c r="A134"/>
      <c r="B134"/>
      <c r="C134"/>
      <c r="D134"/>
      <c r="E134"/>
      <c r="F134"/>
      <c r="G134" s="27"/>
      <c r="H134"/>
      <c r="I134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spans="1:20" x14ac:dyDescent="0.4">
      <c r="A135" s="4"/>
      <c r="B135" s="4"/>
      <c r="C135" s="4"/>
      <c r="D135" s="4"/>
      <c r="E135" s="4"/>
      <c r="F135" s="4"/>
      <c r="G135" s="25"/>
      <c r="H135" s="4"/>
      <c r="I135" s="4"/>
    </row>
    <row r="136" spans="1:20" s="4" customFormat="1" x14ac:dyDescent="0.4">
      <c r="A136"/>
      <c r="B136"/>
      <c r="C136"/>
      <c r="D136"/>
      <c r="E136"/>
      <c r="F136"/>
      <c r="G136" s="27"/>
      <c r="H136"/>
      <c r="I13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spans="1:20" x14ac:dyDescent="0.4">
      <c r="A137" s="4"/>
      <c r="B137" s="4"/>
      <c r="C137" s="4"/>
      <c r="D137" s="4"/>
      <c r="E137" s="4"/>
      <c r="F137" s="4"/>
      <c r="G137" s="25"/>
      <c r="H137" s="4"/>
      <c r="I137" s="4"/>
    </row>
    <row r="138" spans="1:20" s="4" customFormat="1" x14ac:dyDescent="0.4">
      <c r="A138"/>
      <c r="B138"/>
      <c r="C138"/>
      <c r="D138"/>
      <c r="E138"/>
      <c r="F138"/>
      <c r="G138" s="27"/>
      <c r="H138"/>
      <c r="I13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0" x14ac:dyDescent="0.4">
      <c r="A139" s="4"/>
      <c r="B139" s="4"/>
      <c r="C139" s="4"/>
      <c r="D139" s="4"/>
      <c r="E139" s="4"/>
      <c r="F139" s="4"/>
      <c r="G139" s="25"/>
      <c r="H139" s="4"/>
      <c r="I139" s="4"/>
    </row>
    <row r="140" spans="1:20" s="4" customFormat="1" x14ac:dyDescent="0.4">
      <c r="A140"/>
      <c r="B140"/>
      <c r="C140"/>
      <c r="D140"/>
      <c r="E140"/>
      <c r="F140"/>
      <c r="G140" s="27"/>
      <c r="H140"/>
      <c r="I140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0" x14ac:dyDescent="0.4">
      <c r="A141" s="4"/>
      <c r="B141" s="4"/>
      <c r="C141" s="4"/>
      <c r="D141" s="4"/>
      <c r="E141" s="4"/>
      <c r="F141" s="4"/>
      <c r="G141" s="25"/>
      <c r="H141" s="4"/>
      <c r="I141" s="4"/>
    </row>
    <row r="142" spans="1:20" s="4" customFormat="1" x14ac:dyDescent="0.4">
      <c r="A142"/>
      <c r="B142"/>
      <c r="C142"/>
      <c r="D142"/>
      <c r="E142"/>
      <c r="F142"/>
      <c r="G142" s="27"/>
      <c r="H142"/>
      <c r="I142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1:20" x14ac:dyDescent="0.4">
      <c r="A143" s="4"/>
      <c r="B143" s="4"/>
      <c r="C143" s="4"/>
      <c r="D143" s="4"/>
      <c r="E143" s="4"/>
      <c r="F143" s="4"/>
      <c r="G143" s="25"/>
      <c r="H143" s="4"/>
      <c r="I143" s="4"/>
    </row>
    <row r="144" spans="1:20" s="4" customFormat="1" x14ac:dyDescent="0.4">
      <c r="A144"/>
      <c r="B144"/>
      <c r="C144"/>
      <c r="D144"/>
      <c r="E144"/>
      <c r="F144"/>
      <c r="G144" s="27"/>
      <c r="H144"/>
      <c r="I144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1:20" x14ac:dyDescent="0.4">
      <c r="A145" s="4"/>
      <c r="B145" s="4"/>
      <c r="C145" s="4"/>
      <c r="D145" s="4"/>
      <c r="E145" s="4"/>
      <c r="F145" s="4"/>
      <c r="G145" s="25"/>
      <c r="H145" s="4"/>
      <c r="I145" s="4"/>
    </row>
    <row r="146" spans="1:20" s="4" customFormat="1" x14ac:dyDescent="0.4">
      <c r="A146"/>
      <c r="B146"/>
      <c r="C146"/>
      <c r="D146"/>
      <c r="E146"/>
      <c r="F146"/>
      <c r="G146" s="27"/>
      <c r="H146"/>
      <c r="I14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1:20" x14ac:dyDescent="0.4">
      <c r="A147" s="4"/>
      <c r="B147" s="4"/>
      <c r="C147" s="4"/>
      <c r="D147" s="4"/>
      <c r="E147" s="4"/>
      <c r="F147" s="4"/>
      <c r="G147" s="25"/>
      <c r="H147" s="4"/>
      <c r="I147" s="4"/>
    </row>
    <row r="148" spans="1:20" s="4" customFormat="1" x14ac:dyDescent="0.4">
      <c r="A148"/>
      <c r="B148"/>
      <c r="C148"/>
      <c r="D148"/>
      <c r="E148"/>
      <c r="F148"/>
      <c r="G148" s="27"/>
      <c r="H148"/>
      <c r="I14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1:20" x14ac:dyDescent="0.4">
      <c r="A149" s="4"/>
      <c r="B149" s="4"/>
      <c r="C149" s="4"/>
      <c r="D149" s="4"/>
      <c r="E149" s="4"/>
      <c r="F149" s="4"/>
      <c r="G149" s="25"/>
      <c r="H149" s="4"/>
      <c r="I149" s="4"/>
    </row>
    <row r="150" spans="1:20" s="4" customFormat="1" x14ac:dyDescent="0.4">
      <c r="A150"/>
      <c r="B150"/>
      <c r="C150"/>
      <c r="D150"/>
      <c r="E150"/>
      <c r="F150"/>
      <c r="G150" s="27"/>
      <c r="H150"/>
      <c r="I150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spans="1:20" x14ac:dyDescent="0.4">
      <c r="A151" s="4"/>
      <c r="B151" s="4"/>
      <c r="C151" s="4"/>
      <c r="D151" s="4"/>
      <c r="E151" s="4"/>
      <c r="F151" s="4"/>
      <c r="G151" s="25"/>
      <c r="H151" s="4"/>
      <c r="I151" s="4"/>
    </row>
    <row r="152" spans="1:20" s="4" customFormat="1" x14ac:dyDescent="0.4">
      <c r="A152"/>
      <c r="B152"/>
      <c r="C152"/>
      <c r="D152"/>
      <c r="E152"/>
      <c r="F152"/>
      <c r="G152" s="27"/>
      <c r="H152"/>
      <c r="I152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1:20" x14ac:dyDescent="0.4">
      <c r="A153" s="4"/>
      <c r="B153" s="4"/>
      <c r="C153" s="4"/>
      <c r="D153" s="4"/>
      <c r="E153" s="4"/>
      <c r="F153" s="4"/>
      <c r="G153" s="25"/>
      <c r="H153" s="4"/>
      <c r="I153" s="4"/>
    </row>
    <row r="154" spans="1:20" s="4" customFormat="1" x14ac:dyDescent="0.4">
      <c r="A154"/>
      <c r="B154"/>
      <c r="C154"/>
      <c r="D154"/>
      <c r="E154"/>
      <c r="F154"/>
      <c r="G154" s="27"/>
      <c r="H154"/>
      <c r="I154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1:20" x14ac:dyDescent="0.4">
      <c r="A155" s="4"/>
      <c r="B155" s="4"/>
      <c r="C155" s="4"/>
      <c r="D155" s="4"/>
      <c r="E155" s="4"/>
      <c r="F155" s="4"/>
      <c r="G155" s="25"/>
      <c r="H155" s="4"/>
      <c r="I155" s="4"/>
    </row>
    <row r="156" spans="1:20" s="4" customFormat="1" x14ac:dyDescent="0.4">
      <c r="A156"/>
      <c r="B156"/>
      <c r="C156"/>
      <c r="D156"/>
      <c r="E156"/>
      <c r="F156"/>
      <c r="G156" s="27"/>
      <c r="H156"/>
      <c r="I15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1:20" x14ac:dyDescent="0.4">
      <c r="A157" s="4"/>
      <c r="B157" s="4"/>
      <c r="C157" s="4"/>
      <c r="D157" s="4"/>
      <c r="E157" s="4"/>
      <c r="F157" s="4"/>
      <c r="G157" s="25"/>
      <c r="H157" s="4"/>
      <c r="I157" s="4"/>
    </row>
    <row r="158" spans="1:20" s="4" customFormat="1" x14ac:dyDescent="0.4">
      <c r="A158"/>
      <c r="B158"/>
      <c r="C158"/>
      <c r="D158"/>
      <c r="E158"/>
      <c r="F158"/>
      <c r="G158" s="27"/>
      <c r="H158"/>
      <c r="I15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x14ac:dyDescent="0.4">
      <c r="A159" s="4"/>
      <c r="B159" s="4"/>
      <c r="C159" s="4"/>
      <c r="D159" s="4"/>
      <c r="E159" s="4"/>
      <c r="F159" s="4"/>
      <c r="G159" s="25"/>
      <c r="H159" s="4"/>
      <c r="I159" s="4"/>
    </row>
    <row r="160" spans="1:20" s="4" customFormat="1" x14ac:dyDescent="0.4">
      <c r="A160"/>
      <c r="B160"/>
      <c r="C160"/>
      <c r="D160"/>
      <c r="E160"/>
      <c r="F160"/>
      <c r="G160" s="27"/>
      <c r="H160"/>
      <c r="I160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spans="1:20" x14ac:dyDescent="0.4">
      <c r="A161" s="4"/>
      <c r="B161" s="4"/>
      <c r="C161" s="4"/>
      <c r="D161" s="4"/>
      <c r="E161" s="4"/>
      <c r="F161" s="4"/>
      <c r="G161" s="25"/>
      <c r="H161" s="4"/>
      <c r="I161" s="4"/>
    </row>
    <row r="162" spans="1:20" s="4" customFormat="1" x14ac:dyDescent="0.4">
      <c r="A162"/>
      <c r="B162"/>
      <c r="C162"/>
      <c r="D162"/>
      <c r="E162"/>
      <c r="F162"/>
      <c r="G162" s="27"/>
      <c r="H162"/>
      <c r="I162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spans="1:20" x14ac:dyDescent="0.4">
      <c r="A163" s="4"/>
      <c r="B163" s="4"/>
      <c r="C163" s="4"/>
      <c r="D163" s="4"/>
      <c r="E163" s="4"/>
      <c r="F163" s="4"/>
      <c r="G163" s="25"/>
      <c r="H163" s="4"/>
      <c r="I163" s="4"/>
    </row>
    <row r="164" spans="1:20" s="4" customFormat="1" x14ac:dyDescent="0.4">
      <c r="A164"/>
      <c r="B164"/>
      <c r="C164"/>
      <c r="D164"/>
      <c r="E164"/>
      <c r="F164"/>
      <c r="G164" s="27"/>
      <c r="H164"/>
      <c r="I164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1:20" x14ac:dyDescent="0.4">
      <c r="A165" s="4"/>
      <c r="B165" s="4"/>
      <c r="C165" s="4"/>
      <c r="D165" s="4"/>
      <c r="E165" s="4"/>
      <c r="F165" s="4"/>
      <c r="G165" s="25"/>
      <c r="H165" s="4"/>
      <c r="I165" s="4"/>
    </row>
    <row r="166" spans="1:20" s="4" customFormat="1" x14ac:dyDescent="0.4">
      <c r="A166"/>
      <c r="B166"/>
      <c r="C166"/>
      <c r="D166"/>
      <c r="E166"/>
      <c r="F166"/>
      <c r="G166" s="27"/>
      <c r="H166"/>
      <c r="I16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spans="1:20" x14ac:dyDescent="0.4">
      <c r="A167" s="4"/>
      <c r="B167" s="4"/>
      <c r="C167" s="4"/>
      <c r="D167" s="4"/>
      <c r="E167" s="4"/>
      <c r="F167" s="4"/>
      <c r="G167" s="25"/>
      <c r="H167" s="4"/>
      <c r="I167" s="4"/>
    </row>
    <row r="168" spans="1:20" s="4" customFormat="1" x14ac:dyDescent="0.4">
      <c r="A168"/>
      <c r="B168"/>
      <c r="C168"/>
      <c r="D168"/>
      <c r="E168"/>
      <c r="F168"/>
      <c r="G168" s="27"/>
      <c r="H168"/>
      <c r="I16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spans="1:20" x14ac:dyDescent="0.4">
      <c r="A169" s="4"/>
      <c r="B169" s="4"/>
      <c r="C169" s="4"/>
      <c r="D169" s="4"/>
      <c r="E169" s="4"/>
      <c r="F169" s="4"/>
      <c r="G169" s="25"/>
      <c r="H169" s="4"/>
      <c r="I169" s="4"/>
    </row>
    <row r="170" spans="1:20" s="4" customFormat="1" x14ac:dyDescent="0.4">
      <c r="A170"/>
      <c r="B170"/>
      <c r="C170"/>
      <c r="D170"/>
      <c r="E170"/>
      <c r="F170"/>
      <c r="G170" s="27"/>
      <c r="H170"/>
      <c r="I170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spans="1:20" x14ac:dyDescent="0.4">
      <c r="A171" s="4"/>
      <c r="B171" s="4"/>
      <c r="C171" s="4"/>
      <c r="D171" s="4"/>
      <c r="E171" s="4"/>
      <c r="F171" s="4"/>
      <c r="G171" s="25"/>
      <c r="H171" s="4"/>
      <c r="I171" s="4"/>
    </row>
    <row r="172" spans="1:20" s="4" customFormat="1" x14ac:dyDescent="0.4">
      <c r="A172"/>
      <c r="B172"/>
      <c r="C172"/>
      <c r="D172"/>
      <c r="E172"/>
      <c r="F172"/>
      <c r="G172" s="27"/>
      <c r="H172"/>
      <c r="I172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1:20" x14ac:dyDescent="0.4">
      <c r="A173" s="4"/>
      <c r="B173" s="4"/>
      <c r="C173" s="4"/>
      <c r="D173" s="4"/>
      <c r="E173" s="4"/>
      <c r="F173" s="4"/>
      <c r="G173" s="25"/>
      <c r="H173" s="4"/>
      <c r="I173" s="4"/>
    </row>
    <row r="174" spans="1:20" s="4" customFormat="1" x14ac:dyDescent="0.4">
      <c r="A174"/>
      <c r="B174"/>
      <c r="C174"/>
      <c r="D174"/>
      <c r="E174"/>
      <c r="F174"/>
      <c r="G174" s="27"/>
      <c r="H174"/>
      <c r="I174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1:20" x14ac:dyDescent="0.4">
      <c r="A175" s="4"/>
      <c r="B175" s="4"/>
      <c r="C175" s="4"/>
      <c r="D175" s="4"/>
      <c r="E175" s="4"/>
      <c r="F175" s="4"/>
      <c r="G175" s="25"/>
      <c r="H175" s="4"/>
      <c r="I175" s="4"/>
    </row>
    <row r="176" spans="1:20" s="4" customFormat="1" x14ac:dyDescent="0.4">
      <c r="A176"/>
      <c r="B176"/>
      <c r="C176"/>
      <c r="D176"/>
      <c r="E176"/>
      <c r="F176"/>
      <c r="G176" s="27"/>
      <c r="H176"/>
      <c r="I17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spans="1:20" x14ac:dyDescent="0.4">
      <c r="A177" s="4"/>
      <c r="B177" s="4"/>
      <c r="C177" s="4"/>
      <c r="D177" s="4"/>
      <c r="E177" s="4"/>
      <c r="F177" s="4"/>
      <c r="G177" s="25"/>
      <c r="H177" s="4"/>
      <c r="I177" s="4"/>
    </row>
    <row r="178" spans="1:20" s="4" customFormat="1" x14ac:dyDescent="0.4">
      <c r="A178"/>
      <c r="B178"/>
      <c r="C178"/>
      <c r="D178"/>
      <c r="E178"/>
      <c r="F178"/>
      <c r="G178" s="27"/>
      <c r="H178"/>
      <c r="I17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1:20" x14ac:dyDescent="0.4">
      <c r="A179" s="4"/>
      <c r="B179" s="4"/>
      <c r="C179" s="4"/>
      <c r="D179" s="4"/>
      <c r="E179" s="4"/>
      <c r="F179" s="4"/>
      <c r="G179" s="25"/>
      <c r="H179" s="4"/>
      <c r="I179" s="4"/>
    </row>
    <row r="180" spans="1:20" s="4" customFormat="1" x14ac:dyDescent="0.4">
      <c r="A180"/>
      <c r="B180"/>
      <c r="C180"/>
      <c r="D180"/>
      <c r="E180"/>
      <c r="F180"/>
      <c r="G180" s="27"/>
      <c r="H180"/>
      <c r="I180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spans="1:20" x14ac:dyDescent="0.4">
      <c r="A181" s="4"/>
      <c r="B181" s="4"/>
      <c r="C181" s="4"/>
      <c r="D181" s="4"/>
      <c r="E181" s="4"/>
      <c r="F181" s="4"/>
      <c r="G181" s="25"/>
      <c r="H181" s="4"/>
      <c r="I181" s="4"/>
    </row>
    <row r="182" spans="1:20" s="4" customFormat="1" x14ac:dyDescent="0.4">
      <c r="A182"/>
      <c r="B182"/>
      <c r="C182"/>
      <c r="D182"/>
      <c r="E182"/>
      <c r="F182"/>
      <c r="G182" s="27"/>
      <c r="H182"/>
      <c r="I182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1:20" x14ac:dyDescent="0.4">
      <c r="A183" s="4"/>
      <c r="B183" s="4"/>
      <c r="C183" s="4"/>
      <c r="D183" s="4"/>
      <c r="E183" s="4"/>
      <c r="F183" s="4"/>
      <c r="G183" s="25"/>
      <c r="H183" s="4"/>
      <c r="I183" s="4"/>
    </row>
    <row r="184" spans="1:20" s="4" customFormat="1" x14ac:dyDescent="0.4">
      <c r="A184"/>
      <c r="B184"/>
      <c r="C184"/>
      <c r="D184"/>
      <c r="E184"/>
      <c r="F184"/>
      <c r="G184" s="27"/>
      <c r="H184"/>
      <c r="I184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spans="1:20" ht="15" customHeight="1" x14ac:dyDescent="0.4">
      <c r="A185" s="4"/>
      <c r="B185" s="4"/>
      <c r="C185" s="4"/>
      <c r="D185" s="4"/>
      <c r="E185" s="4"/>
      <c r="F185" s="4"/>
      <c r="G185" s="25"/>
      <c r="H185" s="4"/>
      <c r="I185" s="4"/>
    </row>
    <row r="186" spans="1:20" s="4" customFormat="1" x14ac:dyDescent="0.4">
      <c r="A186"/>
      <c r="B186"/>
      <c r="C186"/>
      <c r="D186"/>
      <c r="E186"/>
      <c r="F186"/>
      <c r="G186" s="27"/>
      <c r="H186"/>
      <c r="I18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spans="1:20" x14ac:dyDescent="0.4">
      <c r="A187" s="4"/>
      <c r="B187" s="4"/>
      <c r="C187" s="4"/>
      <c r="D187" s="4"/>
      <c r="E187" s="4"/>
      <c r="F187" s="4"/>
      <c r="G187" s="25"/>
      <c r="H187" s="4"/>
      <c r="I187" s="4"/>
    </row>
    <row r="188" spans="1:20" s="4" customFormat="1" x14ac:dyDescent="0.4">
      <c r="A188"/>
      <c r="B188"/>
      <c r="C188"/>
      <c r="D188"/>
      <c r="E188"/>
      <c r="F188"/>
      <c r="G188" s="27"/>
      <c r="H188"/>
      <c r="I18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1:20" x14ac:dyDescent="0.4">
      <c r="A189" s="4"/>
      <c r="B189" s="4"/>
      <c r="C189" s="4"/>
      <c r="D189" s="4"/>
      <c r="E189" s="4"/>
      <c r="F189" s="4"/>
      <c r="G189" s="25"/>
      <c r="H189" s="4"/>
      <c r="I189" s="4"/>
    </row>
    <row r="190" spans="1:20" s="4" customFormat="1" x14ac:dyDescent="0.4">
      <c r="A190"/>
      <c r="B190"/>
      <c r="C190"/>
      <c r="D190"/>
      <c r="E190"/>
      <c r="F190"/>
      <c r="G190" s="27"/>
      <c r="H190"/>
      <c r="I190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1:20" x14ac:dyDescent="0.4">
      <c r="A191" s="4"/>
      <c r="B191" s="4"/>
      <c r="C191" s="4"/>
      <c r="D191" s="4"/>
      <c r="E191" s="4"/>
      <c r="F191" s="4"/>
      <c r="G191" s="25"/>
      <c r="H191" s="4"/>
      <c r="I191" s="4"/>
    </row>
    <row r="192" spans="1:20" s="4" customFormat="1" x14ac:dyDescent="0.4">
      <c r="A192"/>
      <c r="B192"/>
      <c r="C192"/>
      <c r="D192"/>
      <c r="E192"/>
      <c r="F192"/>
      <c r="G192" s="27"/>
      <c r="H192"/>
      <c r="I192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spans="1:20" x14ac:dyDescent="0.4">
      <c r="A193" s="4"/>
      <c r="B193" s="4"/>
      <c r="C193" s="4"/>
      <c r="D193" s="4"/>
      <c r="E193" s="4"/>
      <c r="F193" s="4"/>
      <c r="G193" s="25"/>
      <c r="H193" s="4"/>
      <c r="I193" s="4"/>
    </row>
    <row r="194" spans="1:20" s="4" customFormat="1" x14ac:dyDescent="0.4">
      <c r="A194"/>
      <c r="B194"/>
      <c r="C194"/>
      <c r="D194"/>
      <c r="E194"/>
      <c r="F194"/>
      <c r="G194" s="27"/>
      <c r="H194"/>
      <c r="I194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1:20" x14ac:dyDescent="0.4">
      <c r="A195" s="4"/>
      <c r="B195" s="4"/>
      <c r="C195" s="4"/>
      <c r="D195" s="4"/>
      <c r="E195" s="4"/>
      <c r="F195" s="4"/>
      <c r="G195" s="25"/>
      <c r="H195" s="4"/>
      <c r="I195" s="4"/>
    </row>
    <row r="196" spans="1:20" s="4" customFormat="1" x14ac:dyDescent="0.4">
      <c r="A196"/>
      <c r="B196"/>
      <c r="C196"/>
      <c r="D196"/>
      <c r="E196"/>
      <c r="F196"/>
      <c r="G196" s="27"/>
      <c r="H196"/>
      <c r="I19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spans="1:20" x14ac:dyDescent="0.4">
      <c r="A197" s="4"/>
      <c r="B197" s="4"/>
      <c r="C197" s="4"/>
      <c r="D197" s="4"/>
      <c r="E197" s="4"/>
      <c r="F197" s="4"/>
      <c r="G197" s="25"/>
      <c r="H197" s="4"/>
      <c r="I197" s="4"/>
    </row>
    <row r="198" spans="1:20" s="4" customFormat="1" x14ac:dyDescent="0.4">
      <c r="A198"/>
      <c r="B198"/>
      <c r="C198"/>
      <c r="D198"/>
      <c r="E198"/>
      <c r="F198"/>
      <c r="G198" s="27"/>
      <c r="H198"/>
      <c r="I19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spans="1:20" x14ac:dyDescent="0.4">
      <c r="A199" s="4"/>
      <c r="B199" s="4"/>
      <c r="C199" s="4"/>
      <c r="D199" s="4"/>
      <c r="E199" s="4"/>
      <c r="F199" s="4"/>
      <c r="G199" s="25"/>
      <c r="H199" s="4"/>
      <c r="I199" s="4"/>
    </row>
    <row r="200" spans="1:20" s="4" customFormat="1" x14ac:dyDescent="0.4">
      <c r="A200"/>
      <c r="B200"/>
      <c r="C200"/>
      <c r="D200"/>
      <c r="E200"/>
      <c r="F200"/>
      <c r="G200" s="27"/>
      <c r="H200"/>
      <c r="I200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spans="1:20" x14ac:dyDescent="0.4">
      <c r="A201" s="4"/>
      <c r="B201" s="4"/>
      <c r="C201" s="4"/>
      <c r="D201" s="4"/>
      <c r="E201" s="4"/>
      <c r="F201" s="4"/>
      <c r="G201" s="25"/>
      <c r="H201" s="4"/>
      <c r="I201" s="4"/>
    </row>
    <row r="202" spans="1:20" s="4" customFormat="1" x14ac:dyDescent="0.4">
      <c r="A202"/>
      <c r="B202"/>
      <c r="C202"/>
      <c r="D202"/>
      <c r="E202"/>
      <c r="F202"/>
      <c r="G202" s="27"/>
      <c r="H202"/>
      <c r="I202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spans="1:20" x14ac:dyDescent="0.4">
      <c r="A203" s="4"/>
      <c r="B203" s="4"/>
      <c r="C203" s="4"/>
      <c r="D203" s="4"/>
      <c r="E203" s="4"/>
      <c r="F203" s="4"/>
      <c r="G203" s="25"/>
      <c r="H203" s="4"/>
      <c r="I203" s="4"/>
    </row>
    <row r="204" spans="1:20" s="4" customFormat="1" x14ac:dyDescent="0.4">
      <c r="A204"/>
      <c r="B204"/>
      <c r="C204"/>
      <c r="D204"/>
      <c r="E204"/>
      <c r="F204"/>
      <c r="G204" s="27"/>
      <c r="H204"/>
      <c r="I204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spans="1:20" x14ac:dyDescent="0.4">
      <c r="A205" s="4"/>
      <c r="B205" s="4"/>
      <c r="C205" s="4"/>
      <c r="D205" s="4"/>
      <c r="E205" s="4"/>
      <c r="F205" s="4"/>
      <c r="G205" s="25"/>
      <c r="H205" s="4"/>
      <c r="I205" s="4"/>
    </row>
    <row r="206" spans="1:20" s="4" customFormat="1" x14ac:dyDescent="0.4">
      <c r="A206"/>
      <c r="B206"/>
      <c r="C206"/>
      <c r="D206"/>
      <c r="E206"/>
      <c r="F206"/>
      <c r="G206" s="27"/>
      <c r="H206"/>
      <c r="I20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1:20" x14ac:dyDescent="0.4">
      <c r="A207" s="4"/>
      <c r="B207" s="4"/>
      <c r="C207" s="4"/>
      <c r="D207" s="4"/>
      <c r="E207" s="4"/>
      <c r="F207" s="4"/>
      <c r="G207" s="25"/>
      <c r="H207" s="4"/>
      <c r="I207" s="4"/>
    </row>
    <row r="208" spans="1:20" s="4" customFormat="1" x14ac:dyDescent="0.4">
      <c r="A208"/>
      <c r="B208"/>
      <c r="C208"/>
      <c r="D208"/>
      <c r="E208"/>
      <c r="F208"/>
      <c r="G208" s="27"/>
      <c r="H208"/>
      <c r="I20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spans="1:20" x14ac:dyDescent="0.4">
      <c r="A209" s="4"/>
      <c r="B209" s="4"/>
      <c r="C209" s="4"/>
      <c r="D209" s="4"/>
      <c r="E209" s="4"/>
      <c r="F209" s="4"/>
      <c r="G209" s="25"/>
      <c r="H209" s="4"/>
      <c r="I209" s="4"/>
    </row>
    <row r="210" spans="1:20" s="4" customFormat="1" x14ac:dyDescent="0.4">
      <c r="A210"/>
      <c r="B210"/>
      <c r="C210"/>
      <c r="D210"/>
      <c r="E210"/>
      <c r="F210"/>
      <c r="G210" s="27"/>
      <c r="H210"/>
      <c r="I210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spans="1:20" x14ac:dyDescent="0.4">
      <c r="A211" s="4"/>
      <c r="B211" s="4"/>
      <c r="C211" s="4"/>
      <c r="D211" s="4"/>
      <c r="E211" s="4"/>
      <c r="F211" s="4"/>
      <c r="G211" s="25"/>
      <c r="H211" s="4"/>
      <c r="I211" s="4"/>
    </row>
    <row r="212" spans="1:20" s="4" customFormat="1" x14ac:dyDescent="0.4">
      <c r="A212"/>
      <c r="B212"/>
      <c r="C212"/>
      <c r="D212"/>
      <c r="E212"/>
      <c r="F212"/>
      <c r="G212" s="27"/>
      <c r="H212"/>
      <c r="I212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1:20" x14ac:dyDescent="0.4">
      <c r="A213" s="4"/>
      <c r="B213" s="4"/>
      <c r="C213" s="4"/>
      <c r="D213" s="4"/>
      <c r="E213" s="4"/>
      <c r="F213" s="4"/>
      <c r="G213" s="25"/>
      <c r="H213" s="4"/>
      <c r="I213" s="4"/>
    </row>
    <row r="214" spans="1:20" s="4" customFormat="1" x14ac:dyDescent="0.4">
      <c r="A214"/>
      <c r="B214"/>
      <c r="C214"/>
      <c r="D214"/>
      <c r="E214"/>
      <c r="F214"/>
      <c r="G214" s="27"/>
      <c r="H214"/>
      <c r="I214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spans="1:20" x14ac:dyDescent="0.4">
      <c r="A215" s="4"/>
      <c r="B215" s="4"/>
      <c r="C215" s="4"/>
      <c r="D215" s="4"/>
      <c r="E215" s="4"/>
      <c r="F215" s="4"/>
      <c r="G215" s="25"/>
      <c r="H215" s="4"/>
      <c r="I215" s="4"/>
    </row>
    <row r="216" spans="1:20" s="4" customFormat="1" x14ac:dyDescent="0.4">
      <c r="A216"/>
      <c r="B216"/>
      <c r="C216"/>
      <c r="D216"/>
      <c r="E216"/>
      <c r="F216"/>
      <c r="G216" s="27"/>
      <c r="H216"/>
      <c r="I21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spans="1:20" x14ac:dyDescent="0.4">
      <c r="A217" s="4"/>
      <c r="B217" s="4"/>
      <c r="C217" s="4"/>
      <c r="D217" s="4"/>
      <c r="E217" s="4"/>
      <c r="F217" s="4"/>
      <c r="G217" s="25"/>
      <c r="H217" s="4"/>
      <c r="I217" s="4"/>
    </row>
    <row r="218" spans="1:20" s="4" customFormat="1" x14ac:dyDescent="0.4">
      <c r="A218"/>
      <c r="B218"/>
      <c r="C218"/>
      <c r="D218"/>
      <c r="E218"/>
      <c r="F218"/>
      <c r="G218" s="27"/>
      <c r="H218"/>
      <c r="I21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1:20" x14ac:dyDescent="0.4">
      <c r="A219" s="4"/>
      <c r="B219" s="4"/>
      <c r="C219" s="4"/>
      <c r="D219" s="4"/>
      <c r="E219" s="4"/>
      <c r="F219" s="4"/>
      <c r="G219" s="25"/>
      <c r="H219" s="4"/>
      <c r="I219" s="4"/>
    </row>
    <row r="220" spans="1:20" s="4" customFormat="1" x14ac:dyDescent="0.4">
      <c r="A220"/>
      <c r="B220"/>
      <c r="C220"/>
      <c r="D220"/>
      <c r="E220"/>
      <c r="F220"/>
      <c r="G220" s="27"/>
      <c r="H220"/>
      <c r="I220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spans="1:20" x14ac:dyDescent="0.4">
      <c r="A221" s="4"/>
      <c r="B221" s="4"/>
      <c r="C221" s="4"/>
      <c r="D221" s="4"/>
      <c r="E221" s="4"/>
      <c r="F221" s="4"/>
      <c r="G221" s="25"/>
      <c r="H221" s="4"/>
      <c r="I221" s="4"/>
    </row>
    <row r="222" spans="1:20" s="4" customFormat="1" x14ac:dyDescent="0.4">
      <c r="A222"/>
      <c r="B222"/>
      <c r="C222"/>
      <c r="D222"/>
      <c r="E222"/>
      <c r="F222"/>
      <c r="G222" s="27"/>
      <c r="H222"/>
      <c r="I222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1:20" x14ac:dyDescent="0.4">
      <c r="A223" s="4"/>
      <c r="B223" s="4"/>
      <c r="C223" s="4"/>
      <c r="D223" s="4"/>
      <c r="E223" s="4"/>
      <c r="F223" s="4"/>
      <c r="G223" s="25"/>
      <c r="H223" s="4"/>
      <c r="I223" s="4"/>
    </row>
    <row r="224" spans="1:20" s="4" customFormat="1" x14ac:dyDescent="0.4">
      <c r="A224"/>
      <c r="B224"/>
      <c r="C224"/>
      <c r="D224"/>
      <c r="E224"/>
      <c r="F224"/>
      <c r="G224" s="27"/>
      <c r="H224"/>
      <c r="I224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spans="1:20" x14ac:dyDescent="0.4">
      <c r="A225" s="4"/>
      <c r="B225" s="4"/>
      <c r="C225" s="4"/>
      <c r="D225" s="4"/>
      <c r="E225" s="4"/>
      <c r="F225" s="4"/>
      <c r="G225" s="25"/>
      <c r="H225" s="4"/>
      <c r="I225" s="4"/>
    </row>
    <row r="226" spans="1:20" s="4" customFormat="1" x14ac:dyDescent="0.4">
      <c r="A226"/>
      <c r="B226"/>
      <c r="C226"/>
      <c r="D226"/>
      <c r="E226"/>
      <c r="F226"/>
      <c r="G226" s="27"/>
      <c r="H226"/>
      <c r="I22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spans="1:20" x14ac:dyDescent="0.4">
      <c r="A227" s="4"/>
      <c r="B227" s="4"/>
      <c r="C227" s="4"/>
      <c r="D227" s="4"/>
      <c r="E227" s="4"/>
      <c r="F227" s="4"/>
      <c r="G227" s="25"/>
      <c r="H227" s="4"/>
      <c r="I227" s="4"/>
    </row>
    <row r="228" spans="1:20" s="4" customFormat="1" x14ac:dyDescent="0.4">
      <c r="A228"/>
      <c r="B228"/>
      <c r="C228"/>
      <c r="D228"/>
      <c r="E228"/>
      <c r="F228"/>
      <c r="G228" s="27"/>
      <c r="H228"/>
      <c r="I22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spans="1:20" x14ac:dyDescent="0.4">
      <c r="A229" s="4"/>
      <c r="B229" s="4"/>
      <c r="C229" s="4"/>
      <c r="D229" s="4"/>
      <c r="E229" s="4"/>
      <c r="F229" s="4"/>
      <c r="G229" s="25"/>
      <c r="H229" s="4"/>
      <c r="I229" s="4"/>
    </row>
    <row r="230" spans="1:20" s="4" customFormat="1" x14ac:dyDescent="0.4">
      <c r="A230"/>
      <c r="B230"/>
      <c r="C230"/>
      <c r="D230"/>
      <c r="E230"/>
      <c r="F230"/>
      <c r="G230" s="27"/>
      <c r="H230"/>
      <c r="I230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spans="1:20" x14ac:dyDescent="0.4">
      <c r="A231" s="4"/>
      <c r="B231" s="4"/>
      <c r="C231" s="4"/>
      <c r="D231" s="4"/>
      <c r="E231" s="4"/>
      <c r="F231" s="4"/>
      <c r="G231" s="25"/>
      <c r="H231" s="4"/>
      <c r="I231" s="4"/>
    </row>
    <row r="232" spans="1:20" s="4" customFormat="1" x14ac:dyDescent="0.4">
      <c r="A232"/>
      <c r="B232"/>
      <c r="C232"/>
      <c r="D232"/>
      <c r="E232"/>
      <c r="F232"/>
      <c r="G232" s="27"/>
      <c r="H232"/>
      <c r="I232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spans="1:20" x14ac:dyDescent="0.4">
      <c r="A233" s="4"/>
      <c r="B233" s="4"/>
      <c r="C233" s="4"/>
      <c r="D233" s="4"/>
      <c r="E233" s="4"/>
      <c r="F233" s="4"/>
      <c r="G233" s="25"/>
      <c r="H233" s="4"/>
      <c r="I233" s="4"/>
    </row>
    <row r="234" spans="1:20" s="4" customFormat="1" x14ac:dyDescent="0.4">
      <c r="A234"/>
      <c r="B234"/>
      <c r="C234"/>
      <c r="D234"/>
      <c r="E234"/>
      <c r="F234"/>
      <c r="G234" s="27"/>
      <c r="H234"/>
      <c r="I234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6" spans="1:20" s="4" customFormat="1" x14ac:dyDescent="0.4">
      <c r="A236"/>
      <c r="B236"/>
      <c r="C236"/>
      <c r="D236"/>
      <c r="E236"/>
      <c r="F236"/>
      <c r="G236" s="27"/>
      <c r="H236"/>
      <c r="I23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8" spans="1:20" s="4" customFormat="1" x14ac:dyDescent="0.4">
      <c r="A238"/>
      <c r="B238"/>
      <c r="C238"/>
      <c r="D238"/>
      <c r="E238"/>
      <c r="F238"/>
      <c r="G238" s="27"/>
      <c r="H238"/>
      <c r="I23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9"/>
  <sheetViews>
    <sheetView workbookViewId="0">
      <selection activeCell="A6" sqref="A6:B12"/>
    </sheetView>
  </sheetViews>
  <sheetFormatPr defaultRowHeight="14.6" x14ac:dyDescent="0.4"/>
  <cols>
    <col min="1" max="1" width="18.3046875" customWidth="1"/>
    <col min="9" max="9" width="11.53515625" customWidth="1"/>
    <col min="10" max="10" width="9.15234375" customWidth="1"/>
  </cols>
  <sheetData>
    <row r="1" spans="1:19" x14ac:dyDescent="0.4">
      <c r="A1" s="1" t="s">
        <v>16</v>
      </c>
      <c r="B1" s="1"/>
      <c r="L1" s="1"/>
      <c r="M1" s="5" t="s">
        <v>17</v>
      </c>
      <c r="Q1" s="1" t="s">
        <v>18</v>
      </c>
    </row>
    <row r="2" spans="1:19" x14ac:dyDescent="0.4">
      <c r="A2" s="1" t="s">
        <v>19</v>
      </c>
      <c r="B2" s="1"/>
    </row>
    <row r="3" spans="1:19" x14ac:dyDescent="0.4">
      <c r="A3" s="1" t="s">
        <v>20</v>
      </c>
      <c r="B3" s="1"/>
      <c r="M3" s="1" t="s">
        <v>5</v>
      </c>
      <c r="N3" t="s">
        <v>4</v>
      </c>
      <c r="O3" t="s">
        <v>12</v>
      </c>
      <c r="Q3" s="1" t="s">
        <v>3</v>
      </c>
      <c r="R3" t="s">
        <v>4</v>
      </c>
      <c r="S3" t="s">
        <v>12</v>
      </c>
    </row>
    <row r="4" spans="1:19" x14ac:dyDescent="0.4">
      <c r="B4" s="38" t="s">
        <v>21</v>
      </c>
      <c r="C4" s="39"/>
      <c r="D4" s="39"/>
      <c r="E4" s="39"/>
      <c r="F4" s="39"/>
      <c r="G4" s="39"/>
      <c r="H4" s="39"/>
    </row>
    <row r="5" spans="1:19" x14ac:dyDescent="0.4">
      <c r="A5" s="2" t="s">
        <v>22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2" t="s">
        <v>23</v>
      </c>
      <c r="I5" s="2" t="s">
        <v>24</v>
      </c>
      <c r="J5" s="2" t="s">
        <v>25</v>
      </c>
      <c r="K5" s="2" t="s">
        <v>26</v>
      </c>
      <c r="M5" s="1" t="s">
        <v>9</v>
      </c>
      <c r="N5" t="s">
        <v>4</v>
      </c>
      <c r="O5" t="s">
        <v>12</v>
      </c>
      <c r="Q5" s="1" t="s">
        <v>8</v>
      </c>
      <c r="R5" t="s">
        <v>4</v>
      </c>
      <c r="S5" t="s">
        <v>12</v>
      </c>
    </row>
    <row r="7" spans="1:19" s="4" customFormat="1" x14ac:dyDescent="0.4">
      <c r="L7"/>
      <c r="M7" s="1" t="s">
        <v>11</v>
      </c>
      <c r="N7"/>
      <c r="O7" t="s">
        <v>12</v>
      </c>
      <c r="P7"/>
      <c r="Q7" s="1" t="s">
        <v>10</v>
      </c>
      <c r="R7" t="s">
        <v>4</v>
      </c>
      <c r="S7" t="s">
        <v>12</v>
      </c>
    </row>
    <row r="9" spans="1:19" s="4" customFormat="1" x14ac:dyDescent="0.4">
      <c r="L9"/>
      <c r="M9"/>
      <c r="N9"/>
      <c r="O9"/>
      <c r="P9"/>
      <c r="Q9" s="1" t="s">
        <v>13</v>
      </c>
      <c r="R9" t="s">
        <v>4</v>
      </c>
      <c r="S9" t="s">
        <v>12</v>
      </c>
    </row>
    <row r="11" spans="1:19" s="4" customFormat="1" x14ac:dyDescent="0.4">
      <c r="L11"/>
      <c r="M11"/>
      <c r="N11"/>
      <c r="O11"/>
      <c r="P11"/>
      <c r="Q11" s="1" t="s">
        <v>14</v>
      </c>
      <c r="R11" t="s">
        <v>4</v>
      </c>
      <c r="S11" t="s">
        <v>12</v>
      </c>
    </row>
    <row r="13" spans="1:19" s="4" customFormat="1" x14ac:dyDescent="0.4">
      <c r="L13"/>
      <c r="M13"/>
      <c r="N13"/>
      <c r="O13"/>
      <c r="P13"/>
      <c r="Q13" s="1" t="s">
        <v>15</v>
      </c>
      <c r="R13"/>
      <c r="S13" t="s">
        <v>12</v>
      </c>
    </row>
    <row r="15" spans="1:19" s="4" customFormat="1" x14ac:dyDescent="0.4">
      <c r="L15"/>
      <c r="M15"/>
      <c r="N15"/>
      <c r="O15"/>
      <c r="P15"/>
      <c r="Q15"/>
      <c r="R15"/>
      <c r="S15"/>
    </row>
    <row r="17" spans="12:19" s="4" customFormat="1" x14ac:dyDescent="0.4">
      <c r="L17"/>
      <c r="M17"/>
      <c r="N17"/>
      <c r="O17"/>
      <c r="P17"/>
      <c r="Q17"/>
      <c r="R17"/>
      <c r="S17"/>
    </row>
    <row r="19" spans="12:19" s="4" customFormat="1" x14ac:dyDescent="0.4">
      <c r="L19"/>
      <c r="M19"/>
      <c r="N19"/>
      <c r="O19"/>
      <c r="P19"/>
      <c r="Q19"/>
      <c r="R19"/>
      <c r="S19"/>
    </row>
    <row r="21" spans="12:19" s="4" customFormat="1" x14ac:dyDescent="0.4">
      <c r="L21"/>
      <c r="M21"/>
      <c r="N21"/>
      <c r="O21"/>
      <c r="P21"/>
      <c r="Q21"/>
      <c r="R21"/>
      <c r="S21"/>
    </row>
    <row r="23" spans="12:19" s="4" customFormat="1" x14ac:dyDescent="0.4">
      <c r="L23"/>
      <c r="M23"/>
      <c r="N23"/>
      <c r="O23"/>
      <c r="P23"/>
      <c r="Q23"/>
      <c r="R23"/>
      <c r="S23"/>
    </row>
    <row r="25" spans="12:19" s="4" customFormat="1" x14ac:dyDescent="0.4">
      <c r="L25"/>
      <c r="M25"/>
      <c r="N25"/>
      <c r="O25"/>
      <c r="P25"/>
      <c r="Q25"/>
      <c r="R25"/>
      <c r="S25"/>
    </row>
    <row r="27" spans="12:19" s="4" customFormat="1" x14ac:dyDescent="0.4">
      <c r="L27"/>
      <c r="M27"/>
      <c r="N27"/>
      <c r="O27"/>
      <c r="P27"/>
      <c r="Q27"/>
      <c r="R27"/>
      <c r="S27"/>
    </row>
    <row r="29" spans="12:19" s="4" customFormat="1" x14ac:dyDescent="0.4">
      <c r="L29"/>
      <c r="M29"/>
      <c r="N29"/>
      <c r="O29"/>
      <c r="P29"/>
      <c r="Q29"/>
      <c r="R29"/>
      <c r="S29"/>
    </row>
    <row r="31" spans="12:19" s="4" customFormat="1" x14ac:dyDescent="0.4">
      <c r="L31"/>
      <c r="M31"/>
      <c r="N31"/>
      <c r="O31"/>
      <c r="P31"/>
      <c r="Q31"/>
      <c r="R31"/>
      <c r="S31"/>
    </row>
    <row r="33" spans="12:19" s="4" customFormat="1" x14ac:dyDescent="0.4">
      <c r="L33"/>
      <c r="M33"/>
      <c r="N33"/>
      <c r="O33"/>
      <c r="P33"/>
      <c r="Q33"/>
      <c r="R33"/>
      <c r="S33"/>
    </row>
    <row r="35" spans="12:19" s="4" customFormat="1" x14ac:dyDescent="0.4">
      <c r="L35"/>
      <c r="M35"/>
      <c r="N35"/>
      <c r="O35"/>
      <c r="P35"/>
      <c r="Q35"/>
      <c r="R35"/>
      <c r="S35"/>
    </row>
    <row r="37" spans="12:19" s="4" customFormat="1" x14ac:dyDescent="0.4">
      <c r="L37"/>
      <c r="M37"/>
      <c r="N37"/>
      <c r="O37"/>
      <c r="P37"/>
      <c r="Q37"/>
      <c r="R37"/>
      <c r="S37"/>
    </row>
    <row r="39" spans="12:19" s="4" customFormat="1" x14ac:dyDescent="0.4">
      <c r="L39"/>
      <c r="M39"/>
      <c r="N39"/>
      <c r="O39"/>
      <c r="P39"/>
      <c r="Q39"/>
      <c r="R39"/>
      <c r="S39"/>
    </row>
    <row r="41" spans="12:19" s="4" customFormat="1" x14ac:dyDescent="0.4">
      <c r="L41"/>
      <c r="M41"/>
      <c r="N41"/>
      <c r="O41"/>
      <c r="P41"/>
      <c r="Q41"/>
      <c r="R41"/>
      <c r="S41"/>
    </row>
    <row r="43" spans="12:19" s="4" customFormat="1" x14ac:dyDescent="0.4">
      <c r="L43"/>
      <c r="M43"/>
      <c r="N43"/>
      <c r="O43"/>
      <c r="P43"/>
      <c r="Q43"/>
      <c r="R43"/>
      <c r="S43"/>
    </row>
    <row r="45" spans="12:19" s="4" customFormat="1" x14ac:dyDescent="0.4">
      <c r="L45"/>
      <c r="M45"/>
      <c r="N45"/>
      <c r="O45"/>
      <c r="P45"/>
      <c r="Q45"/>
      <c r="R45"/>
      <c r="S45"/>
    </row>
    <row r="47" spans="12:19" s="4" customFormat="1" x14ac:dyDescent="0.4">
      <c r="L47"/>
      <c r="M47"/>
      <c r="N47"/>
      <c r="O47"/>
      <c r="P47"/>
      <c r="Q47"/>
      <c r="R47"/>
      <c r="S47"/>
    </row>
    <row r="49" spans="12:19" s="4" customFormat="1" x14ac:dyDescent="0.4">
      <c r="L49"/>
      <c r="M49"/>
      <c r="N49"/>
      <c r="O49"/>
      <c r="P49"/>
      <c r="Q49"/>
      <c r="R49"/>
      <c r="S49"/>
    </row>
    <row r="51" spans="12:19" s="4" customFormat="1" x14ac:dyDescent="0.4">
      <c r="L51"/>
      <c r="M51"/>
      <c r="N51"/>
      <c r="O51"/>
      <c r="P51"/>
      <c r="Q51"/>
      <c r="R51"/>
      <c r="S51"/>
    </row>
    <row r="53" spans="12:19" s="4" customFormat="1" x14ac:dyDescent="0.4">
      <c r="L53"/>
      <c r="M53"/>
      <c r="N53"/>
      <c r="O53"/>
      <c r="P53"/>
      <c r="Q53"/>
      <c r="R53"/>
      <c r="S53"/>
    </row>
    <row r="55" spans="12:19" s="4" customFormat="1" x14ac:dyDescent="0.4">
      <c r="L55"/>
      <c r="M55"/>
      <c r="N55"/>
      <c r="O55"/>
      <c r="P55"/>
      <c r="Q55"/>
      <c r="R55"/>
      <c r="S55"/>
    </row>
    <row r="57" spans="12:19" s="4" customFormat="1" x14ac:dyDescent="0.4">
      <c r="L57"/>
      <c r="M57"/>
      <c r="N57"/>
      <c r="O57"/>
      <c r="P57"/>
      <c r="Q57"/>
      <c r="R57"/>
      <c r="S57"/>
    </row>
    <row r="59" spans="12:19" s="4" customFormat="1" x14ac:dyDescent="0.4">
      <c r="L59"/>
      <c r="M59"/>
      <c r="N59"/>
      <c r="O59"/>
      <c r="P59"/>
      <c r="Q59"/>
      <c r="R59"/>
      <c r="S59"/>
    </row>
    <row r="61" spans="12:19" s="4" customFormat="1" x14ac:dyDescent="0.4">
      <c r="L61"/>
      <c r="M61"/>
      <c r="N61"/>
      <c r="O61"/>
      <c r="P61"/>
      <c r="Q61"/>
      <c r="R61"/>
      <c r="S61"/>
    </row>
    <row r="63" spans="12:19" s="4" customFormat="1" x14ac:dyDescent="0.4">
      <c r="L63"/>
      <c r="M63"/>
      <c r="N63"/>
      <c r="O63"/>
      <c r="P63"/>
      <c r="Q63"/>
      <c r="R63"/>
      <c r="S63"/>
    </row>
    <row r="65" spans="12:19" s="4" customFormat="1" x14ac:dyDescent="0.4">
      <c r="L65"/>
      <c r="M65"/>
      <c r="N65"/>
      <c r="O65"/>
      <c r="P65"/>
      <c r="Q65"/>
      <c r="R65"/>
      <c r="S65"/>
    </row>
    <row r="67" spans="12:19" s="4" customFormat="1" x14ac:dyDescent="0.4">
      <c r="L67"/>
      <c r="M67"/>
      <c r="N67"/>
      <c r="O67"/>
      <c r="P67"/>
      <c r="Q67"/>
      <c r="R67"/>
      <c r="S67"/>
    </row>
    <row r="69" spans="12:19" s="4" customFormat="1" x14ac:dyDescent="0.4">
      <c r="L69"/>
      <c r="M69"/>
      <c r="N69"/>
      <c r="O69"/>
      <c r="P69"/>
      <c r="Q69"/>
      <c r="R69"/>
      <c r="S69"/>
    </row>
    <row r="71" spans="12:19" s="4" customFormat="1" x14ac:dyDescent="0.4">
      <c r="L71"/>
      <c r="M71"/>
      <c r="N71"/>
      <c r="O71"/>
      <c r="P71"/>
      <c r="Q71"/>
      <c r="R71"/>
      <c r="S71"/>
    </row>
    <row r="73" spans="12:19" s="4" customFormat="1" x14ac:dyDescent="0.4">
      <c r="L73"/>
      <c r="M73"/>
      <c r="N73"/>
      <c r="O73"/>
      <c r="P73"/>
      <c r="Q73"/>
      <c r="R73"/>
      <c r="S73"/>
    </row>
    <row r="75" spans="12:19" s="4" customFormat="1" x14ac:dyDescent="0.4">
      <c r="L75"/>
      <c r="M75"/>
      <c r="N75"/>
      <c r="O75"/>
      <c r="P75"/>
      <c r="Q75"/>
      <c r="R75"/>
      <c r="S75"/>
    </row>
    <row r="77" spans="12:19" s="4" customFormat="1" x14ac:dyDescent="0.4">
      <c r="L77"/>
      <c r="M77"/>
      <c r="N77"/>
      <c r="O77"/>
      <c r="P77"/>
      <c r="Q77"/>
      <c r="R77"/>
      <c r="S77"/>
    </row>
    <row r="79" spans="12:19" s="4" customFormat="1" x14ac:dyDescent="0.4">
      <c r="L79"/>
      <c r="M79"/>
      <c r="N79"/>
      <c r="O79"/>
      <c r="P79"/>
      <c r="Q79"/>
      <c r="R79"/>
      <c r="S79"/>
    </row>
    <row r="81" spans="12:19" s="4" customFormat="1" x14ac:dyDescent="0.4">
      <c r="L81"/>
      <c r="M81"/>
      <c r="N81"/>
      <c r="O81"/>
      <c r="P81"/>
      <c r="Q81"/>
      <c r="R81"/>
      <c r="S81"/>
    </row>
    <row r="83" spans="12:19" s="4" customFormat="1" x14ac:dyDescent="0.4">
      <c r="L83"/>
      <c r="M83"/>
      <c r="N83"/>
      <c r="O83"/>
      <c r="P83"/>
      <c r="Q83"/>
      <c r="R83"/>
      <c r="S83"/>
    </row>
    <row r="85" spans="12:19" s="4" customFormat="1" x14ac:dyDescent="0.4">
      <c r="L85"/>
      <c r="M85"/>
      <c r="N85"/>
      <c r="O85"/>
      <c r="P85"/>
      <c r="Q85"/>
      <c r="R85"/>
      <c r="S85"/>
    </row>
    <row r="87" spans="12:19" s="4" customFormat="1" x14ac:dyDescent="0.4">
      <c r="L87"/>
      <c r="M87"/>
      <c r="N87"/>
      <c r="O87"/>
      <c r="P87"/>
      <c r="Q87"/>
      <c r="R87"/>
      <c r="S87"/>
    </row>
    <row r="89" spans="12:19" s="4" customFormat="1" x14ac:dyDescent="0.4">
      <c r="L89"/>
      <c r="M89"/>
      <c r="N89"/>
      <c r="O89"/>
      <c r="P89"/>
      <c r="Q89"/>
      <c r="R89"/>
      <c r="S89"/>
    </row>
    <row r="91" spans="12:19" s="4" customFormat="1" x14ac:dyDescent="0.4">
      <c r="L91"/>
      <c r="M91"/>
      <c r="N91"/>
      <c r="O91"/>
      <c r="P91"/>
      <c r="Q91"/>
      <c r="R91"/>
      <c r="S91"/>
    </row>
    <row r="93" spans="12:19" s="4" customFormat="1" x14ac:dyDescent="0.4">
      <c r="L93"/>
      <c r="M93"/>
      <c r="N93"/>
      <c r="O93"/>
      <c r="P93"/>
      <c r="Q93"/>
      <c r="R93"/>
      <c r="S93"/>
    </row>
    <row r="95" spans="12:19" s="4" customFormat="1" x14ac:dyDescent="0.4">
      <c r="L95"/>
      <c r="M95"/>
      <c r="N95"/>
      <c r="O95"/>
      <c r="P95"/>
      <c r="Q95"/>
      <c r="R95"/>
      <c r="S95"/>
    </row>
    <row r="97" spans="12:19" s="4" customFormat="1" x14ac:dyDescent="0.4">
      <c r="L97"/>
      <c r="M97"/>
      <c r="N97"/>
      <c r="O97"/>
      <c r="P97"/>
      <c r="Q97"/>
      <c r="R97"/>
      <c r="S97"/>
    </row>
    <row r="99" spans="12:19" s="4" customFormat="1" x14ac:dyDescent="0.4">
      <c r="L99"/>
      <c r="M99"/>
      <c r="N99"/>
      <c r="O99"/>
      <c r="P99"/>
      <c r="Q99"/>
      <c r="R99"/>
      <c r="S99"/>
    </row>
    <row r="101" spans="12:19" s="4" customFormat="1" x14ac:dyDescent="0.4">
      <c r="L101"/>
      <c r="M101"/>
      <c r="N101"/>
      <c r="O101"/>
      <c r="P101"/>
      <c r="Q101"/>
      <c r="R101"/>
      <c r="S101"/>
    </row>
    <row r="103" spans="12:19" s="4" customFormat="1" x14ac:dyDescent="0.4">
      <c r="L103"/>
      <c r="M103"/>
      <c r="N103"/>
      <c r="O103"/>
      <c r="P103"/>
      <c r="Q103"/>
      <c r="R103"/>
      <c r="S103"/>
    </row>
    <row r="105" spans="12:19" s="4" customFormat="1" x14ac:dyDescent="0.4">
      <c r="L105"/>
      <c r="M105"/>
      <c r="N105"/>
      <c r="O105"/>
      <c r="P105"/>
      <c r="Q105"/>
      <c r="R105"/>
      <c r="S105"/>
    </row>
    <row r="107" spans="12:19" s="4" customFormat="1" x14ac:dyDescent="0.4">
      <c r="L107"/>
      <c r="M107"/>
      <c r="N107"/>
      <c r="O107"/>
      <c r="P107"/>
      <c r="Q107"/>
      <c r="R107"/>
      <c r="S107"/>
    </row>
    <row r="109" spans="12:19" s="4" customFormat="1" x14ac:dyDescent="0.4">
      <c r="L109"/>
      <c r="M109"/>
      <c r="N109"/>
      <c r="O109"/>
      <c r="P109"/>
      <c r="Q109"/>
      <c r="R109"/>
      <c r="S109"/>
    </row>
    <row r="111" spans="12:19" s="4" customFormat="1" x14ac:dyDescent="0.4">
      <c r="L111"/>
      <c r="M111"/>
      <c r="N111"/>
      <c r="O111"/>
      <c r="P111"/>
      <c r="Q111"/>
      <c r="R111"/>
      <c r="S111"/>
    </row>
    <row r="113" spans="12:19" s="4" customFormat="1" x14ac:dyDescent="0.4">
      <c r="L113"/>
      <c r="M113"/>
      <c r="N113"/>
      <c r="O113"/>
      <c r="P113"/>
      <c r="Q113"/>
      <c r="R113"/>
      <c r="S113"/>
    </row>
    <row r="115" spans="12:19" s="4" customFormat="1" x14ac:dyDescent="0.4">
      <c r="L115"/>
      <c r="M115"/>
      <c r="N115"/>
      <c r="O115"/>
      <c r="P115"/>
      <c r="Q115"/>
      <c r="R115"/>
      <c r="S115"/>
    </row>
    <row r="117" spans="12:19" s="4" customFormat="1" x14ac:dyDescent="0.4">
      <c r="L117"/>
      <c r="M117"/>
      <c r="N117"/>
      <c r="O117"/>
      <c r="P117"/>
      <c r="Q117"/>
      <c r="R117"/>
      <c r="S117"/>
    </row>
    <row r="119" spans="12:19" s="4" customFormat="1" x14ac:dyDescent="0.4">
      <c r="L119"/>
      <c r="M119"/>
      <c r="N119"/>
      <c r="O119"/>
      <c r="P119"/>
      <c r="Q119"/>
      <c r="R119"/>
      <c r="S119"/>
    </row>
    <row r="121" spans="12:19" s="4" customFormat="1" x14ac:dyDescent="0.4">
      <c r="L121"/>
      <c r="M121"/>
      <c r="N121"/>
      <c r="O121"/>
      <c r="P121"/>
      <c r="Q121"/>
      <c r="R121"/>
      <c r="S121"/>
    </row>
    <row r="123" spans="12:19" s="4" customFormat="1" x14ac:dyDescent="0.4">
      <c r="L123"/>
      <c r="M123"/>
      <c r="N123"/>
      <c r="O123"/>
      <c r="P123"/>
      <c r="Q123"/>
      <c r="R123"/>
      <c r="S123"/>
    </row>
    <row r="125" spans="12:19" s="4" customFormat="1" x14ac:dyDescent="0.4">
      <c r="L125"/>
      <c r="M125"/>
      <c r="N125"/>
      <c r="O125"/>
      <c r="P125"/>
      <c r="Q125"/>
      <c r="R125"/>
      <c r="S125"/>
    </row>
    <row r="127" spans="12:19" s="4" customFormat="1" x14ac:dyDescent="0.4">
      <c r="L127"/>
      <c r="M127"/>
      <c r="N127"/>
      <c r="O127"/>
      <c r="P127"/>
      <c r="Q127"/>
      <c r="R127"/>
      <c r="S127"/>
    </row>
    <row r="129" spans="12:19" s="4" customFormat="1" x14ac:dyDescent="0.4">
      <c r="L129"/>
      <c r="M129"/>
      <c r="N129"/>
      <c r="O129"/>
      <c r="P129"/>
      <c r="Q129"/>
      <c r="R129"/>
      <c r="S129"/>
    </row>
    <row r="131" spans="12:19" s="4" customFormat="1" x14ac:dyDescent="0.4">
      <c r="L131"/>
      <c r="M131"/>
      <c r="N131"/>
      <c r="O131"/>
      <c r="P131"/>
      <c r="Q131"/>
      <c r="R131"/>
      <c r="S131"/>
    </row>
    <row r="133" spans="12:19" s="4" customFormat="1" x14ac:dyDescent="0.4">
      <c r="L133"/>
      <c r="M133"/>
      <c r="N133"/>
      <c r="O133"/>
      <c r="P133"/>
      <c r="Q133"/>
      <c r="R133"/>
      <c r="S133"/>
    </row>
    <row r="135" spans="12:19" s="4" customFormat="1" x14ac:dyDescent="0.4">
      <c r="L135"/>
      <c r="M135"/>
      <c r="N135"/>
      <c r="O135"/>
      <c r="P135"/>
      <c r="Q135"/>
      <c r="R135"/>
      <c r="S135"/>
    </row>
    <row r="137" spans="12:19" s="4" customFormat="1" x14ac:dyDescent="0.4">
      <c r="L137"/>
      <c r="M137"/>
      <c r="N137"/>
      <c r="O137"/>
      <c r="P137"/>
      <c r="Q137"/>
      <c r="R137"/>
      <c r="S137"/>
    </row>
    <row r="139" spans="12:19" s="4" customFormat="1" x14ac:dyDescent="0.4">
      <c r="L139"/>
      <c r="M139"/>
      <c r="N139"/>
      <c r="O139"/>
      <c r="P139"/>
      <c r="Q139"/>
      <c r="R139"/>
      <c r="S139"/>
    </row>
    <row r="141" spans="12:19" s="4" customFormat="1" x14ac:dyDescent="0.4">
      <c r="L141"/>
      <c r="M141"/>
      <c r="N141"/>
      <c r="O141"/>
      <c r="P141"/>
      <c r="Q141"/>
      <c r="R141"/>
      <c r="S141"/>
    </row>
    <row r="143" spans="12:19" s="4" customFormat="1" x14ac:dyDescent="0.4">
      <c r="L143"/>
      <c r="M143"/>
      <c r="N143"/>
      <c r="O143"/>
      <c r="P143"/>
      <c r="Q143"/>
      <c r="R143"/>
      <c r="S143"/>
    </row>
    <row r="145" spans="12:19" s="4" customFormat="1" x14ac:dyDescent="0.4">
      <c r="L145"/>
      <c r="M145"/>
      <c r="N145"/>
      <c r="O145"/>
      <c r="P145"/>
      <c r="Q145"/>
      <c r="R145"/>
      <c r="S145"/>
    </row>
    <row r="147" spans="12:19" s="4" customFormat="1" x14ac:dyDescent="0.4">
      <c r="L147"/>
      <c r="M147"/>
      <c r="N147"/>
      <c r="O147"/>
      <c r="P147"/>
      <c r="Q147"/>
      <c r="R147"/>
      <c r="S147"/>
    </row>
    <row r="149" spans="12:19" s="4" customFormat="1" x14ac:dyDescent="0.4">
      <c r="L149"/>
      <c r="M149"/>
      <c r="N149"/>
      <c r="O149"/>
      <c r="P149"/>
      <c r="Q149"/>
      <c r="R149"/>
      <c r="S149"/>
    </row>
    <row r="151" spans="12:19" s="4" customFormat="1" x14ac:dyDescent="0.4">
      <c r="L151"/>
      <c r="M151"/>
      <c r="N151"/>
      <c r="O151"/>
      <c r="P151"/>
      <c r="Q151"/>
      <c r="R151"/>
      <c r="S151"/>
    </row>
    <row r="153" spans="12:19" s="4" customFormat="1" x14ac:dyDescent="0.4">
      <c r="L153"/>
      <c r="M153"/>
      <c r="N153"/>
      <c r="O153"/>
      <c r="P153"/>
      <c r="Q153"/>
      <c r="R153"/>
      <c r="S153"/>
    </row>
    <row r="155" spans="12:19" s="4" customFormat="1" x14ac:dyDescent="0.4">
      <c r="L155"/>
      <c r="M155"/>
      <c r="N155"/>
      <c r="O155"/>
      <c r="P155"/>
      <c r="Q155"/>
      <c r="R155"/>
      <c r="S155"/>
    </row>
    <row r="157" spans="12:19" s="4" customFormat="1" x14ac:dyDescent="0.4">
      <c r="L157"/>
      <c r="M157"/>
      <c r="N157"/>
      <c r="O157"/>
      <c r="P157"/>
      <c r="Q157"/>
      <c r="R157"/>
      <c r="S157"/>
    </row>
    <row r="159" spans="12:19" s="4" customFormat="1" x14ac:dyDescent="0.4">
      <c r="L159"/>
      <c r="M159"/>
      <c r="N159"/>
      <c r="O159"/>
      <c r="P159"/>
      <c r="Q159"/>
      <c r="R159"/>
      <c r="S159"/>
    </row>
    <row r="161" spans="12:19" s="4" customFormat="1" x14ac:dyDescent="0.4">
      <c r="L161"/>
      <c r="M161"/>
      <c r="N161"/>
      <c r="O161"/>
      <c r="P161"/>
      <c r="Q161"/>
      <c r="R161"/>
      <c r="S161"/>
    </row>
    <row r="163" spans="12:19" s="4" customFormat="1" x14ac:dyDescent="0.4">
      <c r="L163"/>
      <c r="M163"/>
      <c r="N163"/>
      <c r="O163"/>
      <c r="P163"/>
      <c r="Q163"/>
      <c r="R163"/>
      <c r="S163"/>
    </row>
    <row r="165" spans="12:19" s="4" customFormat="1" x14ac:dyDescent="0.4">
      <c r="L165"/>
      <c r="M165"/>
      <c r="N165"/>
      <c r="O165"/>
      <c r="P165"/>
      <c r="Q165"/>
      <c r="R165"/>
      <c r="S165"/>
    </row>
    <row r="167" spans="12:19" s="4" customFormat="1" x14ac:dyDescent="0.4">
      <c r="L167"/>
      <c r="M167"/>
      <c r="N167"/>
      <c r="O167"/>
      <c r="P167"/>
      <c r="Q167"/>
      <c r="R167"/>
      <c r="S167"/>
    </row>
    <row r="169" spans="12:19" s="4" customFormat="1" x14ac:dyDescent="0.4">
      <c r="L169"/>
      <c r="M169"/>
      <c r="N169"/>
      <c r="O169"/>
      <c r="P169"/>
      <c r="Q169"/>
      <c r="R169"/>
      <c r="S169"/>
    </row>
    <row r="171" spans="12:19" s="4" customFormat="1" x14ac:dyDescent="0.4">
      <c r="L171"/>
      <c r="M171"/>
      <c r="N171"/>
      <c r="O171"/>
      <c r="P171"/>
      <c r="Q171"/>
      <c r="R171"/>
      <c r="S171"/>
    </row>
    <row r="173" spans="12:19" s="4" customFormat="1" x14ac:dyDescent="0.4">
      <c r="L173"/>
      <c r="M173"/>
      <c r="N173"/>
      <c r="O173"/>
      <c r="P173"/>
      <c r="Q173"/>
      <c r="R173"/>
      <c r="S173"/>
    </row>
    <row r="175" spans="12:19" s="4" customFormat="1" x14ac:dyDescent="0.4">
      <c r="L175"/>
      <c r="M175"/>
      <c r="N175"/>
      <c r="O175"/>
      <c r="P175"/>
      <c r="Q175"/>
      <c r="R175"/>
      <c r="S175"/>
    </row>
    <row r="177" spans="12:19" s="4" customFormat="1" x14ac:dyDescent="0.4">
      <c r="L177"/>
      <c r="M177"/>
      <c r="N177"/>
      <c r="O177"/>
      <c r="P177"/>
      <c r="Q177"/>
      <c r="R177"/>
      <c r="S177"/>
    </row>
    <row r="179" spans="12:19" s="4" customFormat="1" x14ac:dyDescent="0.4">
      <c r="L179"/>
      <c r="M179"/>
      <c r="N179"/>
      <c r="O179"/>
      <c r="P179"/>
      <c r="Q179"/>
      <c r="R179"/>
      <c r="S179"/>
    </row>
    <row r="181" spans="12:19" s="4" customFormat="1" x14ac:dyDescent="0.4">
      <c r="L181"/>
      <c r="M181"/>
      <c r="N181"/>
      <c r="O181"/>
      <c r="P181"/>
      <c r="Q181"/>
      <c r="R181"/>
      <c r="S181"/>
    </row>
    <row r="183" spans="12:19" s="4" customFormat="1" x14ac:dyDescent="0.4">
      <c r="L183"/>
      <c r="M183"/>
      <c r="N183"/>
      <c r="O183"/>
      <c r="P183"/>
      <c r="Q183"/>
      <c r="R183"/>
      <c r="S183"/>
    </row>
    <row r="185" spans="12:19" s="4" customFormat="1" x14ac:dyDescent="0.4">
      <c r="L185"/>
      <c r="M185"/>
      <c r="N185"/>
      <c r="O185"/>
      <c r="P185"/>
      <c r="Q185"/>
      <c r="R185"/>
      <c r="S185"/>
    </row>
    <row r="187" spans="12:19" s="4" customFormat="1" x14ac:dyDescent="0.4">
      <c r="L187"/>
      <c r="M187"/>
      <c r="N187"/>
      <c r="O187"/>
      <c r="P187"/>
      <c r="Q187"/>
      <c r="R187"/>
      <c r="S187"/>
    </row>
    <row r="189" spans="12:19" s="4" customFormat="1" x14ac:dyDescent="0.4">
      <c r="L189"/>
      <c r="M189"/>
      <c r="N189"/>
      <c r="O189"/>
      <c r="P189"/>
      <c r="Q189"/>
      <c r="R189"/>
      <c r="S189"/>
    </row>
    <row r="191" spans="12:19" s="4" customFormat="1" x14ac:dyDescent="0.4">
      <c r="L191"/>
      <c r="M191"/>
      <c r="N191"/>
      <c r="O191"/>
      <c r="P191"/>
      <c r="Q191"/>
      <c r="R191"/>
      <c r="S191"/>
    </row>
    <row r="193" spans="12:19" s="4" customFormat="1" x14ac:dyDescent="0.4">
      <c r="L193"/>
      <c r="M193"/>
      <c r="N193"/>
      <c r="O193"/>
      <c r="P193"/>
      <c r="Q193"/>
      <c r="R193"/>
      <c r="S193"/>
    </row>
    <row r="195" spans="12:19" s="4" customFormat="1" x14ac:dyDescent="0.4">
      <c r="L195"/>
      <c r="M195"/>
      <c r="N195"/>
      <c r="O195"/>
      <c r="P195"/>
      <c r="Q195"/>
      <c r="R195"/>
      <c r="S195"/>
    </row>
    <row r="197" spans="12:19" s="4" customFormat="1" x14ac:dyDescent="0.4">
      <c r="L197"/>
      <c r="M197"/>
      <c r="N197"/>
      <c r="O197"/>
      <c r="P197"/>
      <c r="Q197"/>
      <c r="R197"/>
      <c r="S197"/>
    </row>
    <row r="199" spans="12:19" s="4" customFormat="1" x14ac:dyDescent="0.4">
      <c r="L199"/>
      <c r="M199"/>
      <c r="N199"/>
      <c r="O199"/>
      <c r="P199"/>
      <c r="Q199"/>
      <c r="R199"/>
      <c r="S199"/>
    </row>
    <row r="201" spans="12:19" s="4" customFormat="1" x14ac:dyDescent="0.4">
      <c r="L201"/>
      <c r="M201"/>
      <c r="N201"/>
      <c r="O201"/>
      <c r="P201"/>
      <c r="Q201"/>
      <c r="R201"/>
      <c r="S201"/>
    </row>
    <row r="203" spans="12:19" s="4" customFormat="1" x14ac:dyDescent="0.4">
      <c r="L203"/>
      <c r="M203"/>
      <c r="N203"/>
      <c r="O203"/>
      <c r="P203"/>
      <c r="Q203"/>
      <c r="R203"/>
      <c r="S203"/>
    </row>
    <row r="205" spans="12:19" s="4" customFormat="1" x14ac:dyDescent="0.4">
      <c r="L205"/>
      <c r="M205"/>
      <c r="N205"/>
      <c r="O205"/>
      <c r="P205"/>
      <c r="Q205"/>
      <c r="R205"/>
      <c r="S205"/>
    </row>
    <row r="207" spans="12:19" s="4" customFormat="1" x14ac:dyDescent="0.4">
      <c r="L207"/>
      <c r="M207"/>
      <c r="N207"/>
      <c r="O207"/>
      <c r="P207"/>
      <c r="Q207"/>
      <c r="R207"/>
      <c r="S207"/>
    </row>
    <row r="209" spans="12:19" s="4" customFormat="1" x14ac:dyDescent="0.4">
      <c r="L209"/>
      <c r="M209"/>
      <c r="N209"/>
      <c r="O209"/>
      <c r="P209"/>
      <c r="Q209"/>
      <c r="R209"/>
      <c r="S209"/>
    </row>
    <row r="211" spans="12:19" s="4" customFormat="1" x14ac:dyDescent="0.4">
      <c r="L211"/>
      <c r="M211"/>
      <c r="N211"/>
      <c r="O211"/>
      <c r="P211"/>
      <c r="Q211"/>
      <c r="R211"/>
      <c r="S211"/>
    </row>
    <row r="213" spans="12:19" s="4" customFormat="1" x14ac:dyDescent="0.4">
      <c r="L213"/>
      <c r="M213"/>
      <c r="N213"/>
      <c r="O213"/>
      <c r="P213"/>
      <c r="Q213"/>
      <c r="R213"/>
      <c r="S213"/>
    </row>
    <row r="215" spans="12:19" s="4" customFormat="1" x14ac:dyDescent="0.4">
      <c r="L215"/>
      <c r="M215"/>
      <c r="N215"/>
      <c r="O215"/>
      <c r="P215"/>
      <c r="Q215"/>
      <c r="R215"/>
      <c r="S215"/>
    </row>
    <row r="217" spans="12:19" s="4" customFormat="1" x14ac:dyDescent="0.4">
      <c r="L217"/>
      <c r="M217"/>
      <c r="N217"/>
      <c r="O217"/>
      <c r="P217"/>
      <c r="Q217"/>
      <c r="R217"/>
      <c r="S217"/>
    </row>
    <row r="219" spans="12:19" s="4" customFormat="1" x14ac:dyDescent="0.4">
      <c r="L219"/>
      <c r="M219"/>
      <c r="N219"/>
      <c r="O219"/>
      <c r="P219"/>
      <c r="Q219"/>
      <c r="R219"/>
      <c r="S219"/>
    </row>
    <row r="221" spans="12:19" s="4" customFormat="1" x14ac:dyDescent="0.4">
      <c r="L221"/>
      <c r="M221"/>
      <c r="N221"/>
      <c r="O221"/>
      <c r="P221"/>
      <c r="Q221"/>
      <c r="R221"/>
      <c r="S221"/>
    </row>
    <row r="223" spans="12:19" s="4" customFormat="1" x14ac:dyDescent="0.4">
      <c r="L223"/>
      <c r="M223"/>
      <c r="N223"/>
      <c r="O223"/>
      <c r="P223"/>
      <c r="Q223"/>
      <c r="R223"/>
      <c r="S223"/>
    </row>
    <row r="225" spans="12:19" s="4" customFormat="1" x14ac:dyDescent="0.4">
      <c r="L225"/>
      <c r="M225"/>
      <c r="N225"/>
      <c r="O225"/>
      <c r="P225"/>
      <c r="Q225"/>
      <c r="R225"/>
      <c r="S225"/>
    </row>
    <row r="227" spans="12:19" s="4" customFormat="1" x14ac:dyDescent="0.4">
      <c r="L227"/>
      <c r="M227"/>
      <c r="N227"/>
      <c r="O227"/>
      <c r="P227"/>
      <c r="Q227"/>
      <c r="R227"/>
      <c r="S227"/>
    </row>
    <row r="229" spans="12:19" s="4" customFormat="1" x14ac:dyDescent="0.4">
      <c r="L229"/>
      <c r="M229"/>
      <c r="N229"/>
      <c r="O229"/>
      <c r="P229"/>
      <c r="Q229"/>
      <c r="R229"/>
      <c r="S229"/>
    </row>
    <row r="231" spans="12:19" s="4" customFormat="1" x14ac:dyDescent="0.4">
      <c r="L231"/>
      <c r="M231"/>
      <c r="N231"/>
      <c r="O231"/>
      <c r="P231"/>
      <c r="Q231"/>
      <c r="R231"/>
      <c r="S231"/>
    </row>
    <row r="233" spans="12:19" s="4" customFormat="1" x14ac:dyDescent="0.4">
      <c r="L233"/>
      <c r="M233"/>
      <c r="N233"/>
      <c r="O233"/>
      <c r="P233"/>
      <c r="Q233"/>
      <c r="R233"/>
      <c r="S233"/>
    </row>
    <row r="235" spans="12:19" s="4" customFormat="1" x14ac:dyDescent="0.4">
      <c r="L235"/>
      <c r="M235"/>
      <c r="N235"/>
      <c r="O235"/>
      <c r="P235"/>
      <c r="Q235"/>
      <c r="R235"/>
      <c r="S235"/>
    </row>
    <row r="237" spans="12:19" s="4" customFormat="1" x14ac:dyDescent="0.4">
      <c r="L237"/>
      <c r="M237"/>
      <c r="N237"/>
      <c r="O237"/>
      <c r="P237"/>
      <c r="Q237"/>
      <c r="R237"/>
      <c r="S237"/>
    </row>
    <row r="239" spans="12:19" s="4" customFormat="1" x14ac:dyDescent="0.4">
      <c r="L239"/>
      <c r="M239"/>
      <c r="N239"/>
      <c r="O239"/>
      <c r="P239"/>
      <c r="Q239"/>
      <c r="R239"/>
      <c r="S239"/>
    </row>
    <row r="241" spans="12:19" s="4" customFormat="1" x14ac:dyDescent="0.4">
      <c r="L241"/>
      <c r="M241"/>
      <c r="N241"/>
      <c r="O241"/>
      <c r="P241"/>
      <c r="Q241"/>
      <c r="R241"/>
      <c r="S241"/>
    </row>
    <row r="243" spans="12:19" s="4" customFormat="1" x14ac:dyDescent="0.4">
      <c r="L243"/>
      <c r="M243"/>
      <c r="N243"/>
      <c r="O243"/>
      <c r="P243"/>
      <c r="Q243"/>
      <c r="R243"/>
      <c r="S243"/>
    </row>
    <row r="245" spans="12:19" s="4" customFormat="1" x14ac:dyDescent="0.4">
      <c r="L245"/>
      <c r="M245"/>
      <c r="N245"/>
      <c r="O245"/>
      <c r="P245"/>
      <c r="Q245"/>
      <c r="R245"/>
      <c r="S245"/>
    </row>
    <row r="247" spans="12:19" s="4" customFormat="1" x14ac:dyDescent="0.4">
      <c r="L247"/>
      <c r="M247"/>
      <c r="N247"/>
      <c r="O247"/>
      <c r="P247"/>
      <c r="Q247"/>
      <c r="R247"/>
      <c r="S247"/>
    </row>
    <row r="249" spans="12:19" s="4" customFormat="1" x14ac:dyDescent="0.4">
      <c r="L249"/>
      <c r="M249"/>
      <c r="N249"/>
      <c r="O249"/>
      <c r="P249"/>
      <c r="Q249"/>
      <c r="R249"/>
      <c r="S249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RESULTS_June2025</vt:lpstr>
      <vt:lpstr>EXAM points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Leyser</dc:creator>
  <cp:keywords/>
  <dc:description/>
  <cp:lastModifiedBy>Erik Öberg</cp:lastModifiedBy>
  <cp:revision/>
  <dcterms:created xsi:type="dcterms:W3CDTF">2019-04-15T07:00:25Z</dcterms:created>
  <dcterms:modified xsi:type="dcterms:W3CDTF">2026-06-11T12:33:56Z</dcterms:modified>
  <cp:category/>
  <cp:contentStatus/>
</cp:coreProperties>
</file>