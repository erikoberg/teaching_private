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eriob421\Dropbox\teaching\uppsala\phd macro ii\spring2025\exam\"/>
    </mc:Choice>
  </mc:AlternateContent>
  <bookViews>
    <workbookView xWindow="28680" yWindow="-120" windowWidth="29040" windowHeight="17520"/>
  </bookViews>
  <sheets>
    <sheet name="RESULTS_June2025" sheetId="4" r:id="rId1"/>
    <sheet name="EXAM points" sheetId="5" r:id="rId2"/>
    <sheet name="Sheet1" sheetId="1" r:id="rId3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7" i="5" l="1"/>
  <c r="E18" i="5" s="1"/>
  <c r="D17" i="5"/>
  <c r="D18" i="5" s="1"/>
  <c r="C17" i="5"/>
  <c r="C18" i="5" s="1"/>
  <c r="B17" i="5"/>
  <c r="B18" i="5" s="1"/>
  <c r="F15" i="5"/>
  <c r="G15" i="5" s="1"/>
  <c r="F14" i="5"/>
  <c r="H14" i="5" s="1"/>
  <c r="F13" i="5"/>
  <c r="H13" i="5" s="1"/>
  <c r="F12" i="5"/>
  <c r="G12" i="5" s="1"/>
  <c r="F11" i="5"/>
  <c r="H11" i="5" s="1"/>
  <c r="F10" i="5"/>
  <c r="H10" i="5" s="1"/>
  <c r="F8" i="5"/>
  <c r="G8" i="5" s="1"/>
  <c r="K15" i="4"/>
  <c r="L15" i="4" s="1"/>
  <c r="K14" i="4"/>
  <c r="L14" i="4" s="1"/>
  <c r="K13" i="4"/>
  <c r="K12" i="4"/>
  <c r="K11" i="4"/>
  <c r="T11" i="4" s="1"/>
  <c r="K10" i="4"/>
  <c r="Q10" i="4"/>
  <c r="R10" i="4" s="1"/>
  <c r="Q11" i="4"/>
  <c r="S11" i="4" s="1"/>
  <c r="Q12" i="4"/>
  <c r="S12" i="4" s="1"/>
  <c r="Q13" i="4"/>
  <c r="S13" i="4" s="1"/>
  <c r="Q14" i="4"/>
  <c r="S14" i="4" s="1"/>
  <c r="Q15" i="4"/>
  <c r="S15" i="4" s="1"/>
  <c r="P17" i="4"/>
  <c r="Q8" i="4"/>
  <c r="R8" i="4" s="1"/>
  <c r="K8" i="4"/>
  <c r="L8" i="4" s="1"/>
  <c r="J17" i="4"/>
  <c r="C17" i="4"/>
  <c r="D17" i="4"/>
  <c r="E17" i="4"/>
  <c r="F17" i="4"/>
  <c r="G17" i="4"/>
  <c r="H17" i="4"/>
  <c r="I17" i="4"/>
  <c r="M17" i="4"/>
  <c r="N17" i="4"/>
  <c r="O17" i="4"/>
  <c r="B17" i="4"/>
  <c r="T12" i="4" l="1"/>
  <c r="R11" i="4"/>
  <c r="R13" i="4"/>
  <c r="R15" i="4"/>
  <c r="R14" i="4"/>
  <c r="T10" i="4"/>
  <c r="T13" i="4"/>
  <c r="R12" i="4"/>
  <c r="H12" i="5"/>
  <c r="H15" i="5"/>
  <c r="G11" i="5"/>
  <c r="G14" i="5"/>
  <c r="G10" i="5"/>
  <c r="G13" i="5"/>
  <c r="F17" i="5"/>
  <c r="H17" i="5" s="1"/>
  <c r="T8" i="4"/>
  <c r="T15" i="4"/>
  <c r="T14" i="4"/>
  <c r="S10" i="4"/>
  <c r="Q17" i="4"/>
  <c r="S17" i="4" s="1"/>
  <c r="L13" i="4"/>
  <c r="L12" i="4"/>
  <c r="L11" i="4"/>
  <c r="K17" i="4"/>
  <c r="L10" i="4"/>
  <c r="R17" i="4" l="1"/>
  <c r="G17" i="5"/>
  <c r="L17" i="4"/>
  <c r="T17" i="4" l="1"/>
</calcChain>
</file>

<file path=xl/sharedStrings.xml><?xml version="1.0" encoding="utf-8"?>
<sst xmlns="http://schemas.openxmlformats.org/spreadsheetml/2006/main" count="94" uniqueCount="50">
  <si>
    <t>Exam in</t>
  </si>
  <si>
    <t>Grades</t>
  </si>
  <si>
    <t>Teacher:</t>
  </si>
  <si>
    <t>A</t>
  </si>
  <si>
    <t>xx=&lt;</t>
  </si>
  <si>
    <t>VG</t>
  </si>
  <si>
    <t>Total score</t>
  </si>
  <si>
    <t>Grade/ECTS</t>
  </si>
  <si>
    <t>B</t>
  </si>
  <si>
    <t>G</t>
  </si>
  <si>
    <t>C</t>
  </si>
  <si>
    <t>U</t>
  </si>
  <si>
    <t>x</t>
  </si>
  <si>
    <t>D</t>
  </si>
  <si>
    <t>E</t>
  </si>
  <si>
    <t>F</t>
  </si>
  <si>
    <t>Tenta i</t>
  </si>
  <si>
    <t>Betygsfördelning</t>
  </si>
  <si>
    <t>ECTS fördelning</t>
  </si>
  <si>
    <t>Lärare:</t>
  </si>
  <si>
    <t>Dagens datum:</t>
  </si>
  <si>
    <t>Fråga nr.</t>
  </si>
  <si>
    <t>Skrivningsnummer</t>
  </si>
  <si>
    <t>…</t>
  </si>
  <si>
    <t>Totalpoäng</t>
  </si>
  <si>
    <t>ECTS</t>
  </si>
  <si>
    <t>Betyg</t>
  </si>
  <si>
    <t>max points</t>
  </si>
  <si>
    <t xml:space="preserve">AVERAGE </t>
  </si>
  <si>
    <t>PROBLEM SETS</t>
  </si>
  <si>
    <t>EXAM</t>
  </si>
  <si>
    <t>Student</t>
  </si>
  <si>
    <t>Total PS</t>
  </si>
  <si>
    <t>% Total PS</t>
  </si>
  <si>
    <t>Total exam</t>
  </si>
  <si>
    <t>% Total exam</t>
  </si>
  <si>
    <t>Gabriel Nilsen</t>
  </si>
  <si>
    <t>Grade exam</t>
  </si>
  <si>
    <t xml:space="preserve">Teodora Borota Milicevic, Erik Öberg </t>
  </si>
  <si>
    <t>PhD Macroeconomics II</t>
  </si>
  <si>
    <t>GRADE</t>
  </si>
  <si>
    <t>Gabriella Linderoth</t>
  </si>
  <si>
    <t>(ps #2 not graded)</t>
  </si>
  <si>
    <t>Karolina Westin</t>
  </si>
  <si>
    <t>Markus Rundström</t>
  </si>
  <si>
    <t>Mona Dapfer</t>
  </si>
  <si>
    <t>Sebastiano Scalco</t>
  </si>
  <si>
    <t>AVG %</t>
  </si>
  <si>
    <t>Namn</t>
  </si>
  <si>
    <t>Marcus Rundström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</si>
</sst>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273239"/>
      <name val="Segoe UI"/>
      <family val="2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0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horizontal="left"/>
    </xf>
    <xf numFmtId="0" fontId="0" fillId="2" borderId="0" xfId="0" applyFill="1"/>
    <xf numFmtId="0" fontId="3" fillId="0" borderId="0" xfId="1" applyFont="1"/>
    <xf numFmtId="0" fontId="1" fillId="2" borderId="0" xfId="0" applyFont="1" applyFill="1"/>
    <xf numFmtId="0" fontId="4" fillId="0" borderId="0" xfId="0" applyFont="1"/>
    <xf numFmtId="14" fontId="1" fillId="0" borderId="0" xfId="0" applyNumberFormat="1" applyFont="1"/>
    <xf numFmtId="0" fontId="0" fillId="0" borderId="0" xfId="0" applyFill="1"/>
    <xf numFmtId="0" fontId="0" fillId="0" borderId="0" xfId="0" applyAlignment="1">
      <alignment horizontal="center"/>
    </xf>
    <xf numFmtId="0" fontId="1" fillId="0" borderId="0" xfId="0" applyFont="1" applyBorder="1"/>
    <xf numFmtId="0" fontId="1" fillId="0" borderId="1" xfId="0" applyFont="1" applyBorder="1" applyAlignment="1">
      <alignment horizontal="right"/>
    </xf>
    <xf numFmtId="0" fontId="1" fillId="0" borderId="0" xfId="0" applyFont="1" applyBorder="1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center"/>
    </xf>
    <xf numFmtId="0" fontId="1" fillId="0" borderId="3" xfId="0" applyFont="1" applyBorder="1" applyAlignment="1">
      <alignment horizontal="right"/>
    </xf>
    <xf numFmtId="0" fontId="1" fillId="0" borderId="2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2" xfId="0" applyFill="1" applyBorder="1"/>
    <xf numFmtId="2" fontId="0" fillId="0" borderId="2" xfId="0" applyNumberFormat="1" applyBorder="1" applyAlignment="1">
      <alignment horizontal="right"/>
    </xf>
    <xf numFmtId="2" fontId="0" fillId="0" borderId="2" xfId="0" applyNumberFormat="1" applyFill="1" applyBorder="1"/>
    <xf numFmtId="2" fontId="0" fillId="2" borderId="2" xfId="0" applyNumberFormat="1" applyFill="1" applyBorder="1"/>
    <xf numFmtId="2" fontId="0" fillId="2" borderId="0" xfId="0" applyNumberFormat="1" applyFill="1"/>
    <xf numFmtId="2" fontId="0" fillId="2" borderId="0" xfId="0" applyNumberFormat="1" applyFill="1" applyBorder="1"/>
    <xf numFmtId="2" fontId="0" fillId="0" borderId="0" xfId="0" applyNumberFormat="1"/>
    <xf numFmtId="2" fontId="0" fillId="0" borderId="0" xfId="0" applyNumberFormat="1" applyFill="1"/>
    <xf numFmtId="0" fontId="4" fillId="0" borderId="2" xfId="0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0" fontId="0" fillId="0" borderId="0" xfId="0" applyAlignment="1">
      <alignment horizontal="center"/>
    </xf>
    <xf numFmtId="0" fontId="1" fillId="0" borderId="0" xfId="0" applyFont="1" applyFill="1"/>
    <xf numFmtId="0" fontId="4" fillId="0" borderId="0" xfId="0" applyFont="1" applyFill="1"/>
    <xf numFmtId="2" fontId="0" fillId="0" borderId="0" xfId="0" applyNumberFormat="1" applyAlignment="1">
      <alignment horizontal="center"/>
    </xf>
    <xf numFmtId="2" fontId="1" fillId="0" borderId="1" xfId="0" applyNumberFormat="1" applyFont="1" applyBorder="1" applyAlignment="1">
      <alignment horizontal="right"/>
    </xf>
    <xf numFmtId="2" fontId="1" fillId="0" borderId="0" xfId="0" applyNumberFormat="1" applyFont="1" applyBorder="1" applyAlignment="1">
      <alignment horizontal="right"/>
    </xf>
    <xf numFmtId="0" fontId="5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2">
    <cellStyle name="Hyperlä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44"/>
  <sheetViews>
    <sheetView tabSelected="1" zoomScale="103" workbookViewId="0">
      <selection activeCell="R18" sqref="R18"/>
    </sheetView>
  </sheetViews>
  <sheetFormatPr defaultRowHeight="15" x14ac:dyDescent="0.25"/>
  <cols>
    <col min="1" max="1" width="18.28515625" customWidth="1"/>
    <col min="2" max="2" width="10.85546875" bestFit="1" customWidth="1"/>
    <col min="12" max="12" width="10.42578125" customWidth="1"/>
    <col min="17" max="17" width="13.140625" customWidth="1"/>
    <col min="18" max="19" width="13.28515625" customWidth="1"/>
    <col min="20" max="20" width="11.5703125" customWidth="1"/>
    <col min="21" max="21" width="12.85546875" customWidth="1"/>
    <col min="22" max="22" width="9.140625" customWidth="1"/>
  </cols>
  <sheetData>
    <row r="1" spans="1:30" x14ac:dyDescent="0.25">
      <c r="A1" s="1" t="s">
        <v>0</v>
      </c>
      <c r="B1" s="1" t="s">
        <v>39</v>
      </c>
      <c r="W1" s="1"/>
      <c r="X1" s="1"/>
      <c r="AB1" s="1" t="s">
        <v>1</v>
      </c>
    </row>
    <row r="2" spans="1:30" x14ac:dyDescent="0.25">
      <c r="A2" s="1" t="s">
        <v>2</v>
      </c>
      <c r="B2" s="1" t="s">
        <v>38</v>
      </c>
    </row>
    <row r="3" spans="1:30" x14ac:dyDescent="0.25">
      <c r="A3" s="1"/>
      <c r="B3" s="8"/>
      <c r="X3" s="1"/>
      <c r="Z3">
        <v>90</v>
      </c>
      <c r="AB3" s="1" t="s">
        <v>5</v>
      </c>
      <c r="AC3" t="s">
        <v>4</v>
      </c>
      <c r="AD3">
        <v>75</v>
      </c>
    </row>
    <row r="4" spans="1:30" x14ac:dyDescent="0.25">
      <c r="A4" s="1"/>
      <c r="B4" s="8"/>
    </row>
    <row r="5" spans="1:30" x14ac:dyDescent="0.25">
      <c r="A5" s="1"/>
      <c r="B5" s="8" t="s">
        <v>29</v>
      </c>
      <c r="J5" s="16"/>
      <c r="L5" s="16"/>
      <c r="M5" s="1" t="s">
        <v>30</v>
      </c>
      <c r="S5" s="16"/>
      <c r="X5" s="1"/>
      <c r="Z5">
        <v>75</v>
      </c>
      <c r="AB5" s="1" t="s">
        <v>9</v>
      </c>
      <c r="AC5" t="s">
        <v>4</v>
      </c>
      <c r="AD5">
        <v>50</v>
      </c>
    </row>
    <row r="6" spans="1:30" x14ac:dyDescent="0.25">
      <c r="B6" s="37" t="s">
        <v>42</v>
      </c>
      <c r="C6" s="37"/>
      <c r="D6" s="37"/>
      <c r="E6" s="10"/>
      <c r="F6" s="10"/>
      <c r="G6" s="10"/>
      <c r="H6" s="10"/>
      <c r="I6" s="10"/>
      <c r="J6" s="17"/>
      <c r="K6" s="15"/>
      <c r="L6" s="17"/>
      <c r="M6" s="10"/>
      <c r="N6" s="10"/>
      <c r="O6" s="10"/>
      <c r="P6" s="15"/>
      <c r="Q6" s="15"/>
      <c r="R6" s="15"/>
      <c r="S6" s="17"/>
      <c r="X6" s="1"/>
      <c r="AB6" s="1"/>
    </row>
    <row r="7" spans="1:30" x14ac:dyDescent="0.25">
      <c r="A7" s="2"/>
      <c r="B7" s="12">
        <v>1</v>
      </c>
      <c r="C7" s="12">
        <v>3</v>
      </c>
      <c r="D7" s="12">
        <v>4</v>
      </c>
      <c r="E7" s="12">
        <v>5</v>
      </c>
      <c r="F7" s="12">
        <v>6</v>
      </c>
      <c r="G7" s="12">
        <v>7</v>
      </c>
      <c r="H7" s="12">
        <v>8</v>
      </c>
      <c r="I7" s="12">
        <v>9</v>
      </c>
      <c r="J7" s="18">
        <v>10</v>
      </c>
      <c r="K7" s="12" t="s">
        <v>32</v>
      </c>
      <c r="L7" s="18" t="s">
        <v>33</v>
      </c>
      <c r="M7" s="12">
        <v>1</v>
      </c>
      <c r="N7" s="12">
        <v>2</v>
      </c>
      <c r="O7" s="12">
        <v>3</v>
      </c>
      <c r="P7" s="12">
        <v>4</v>
      </c>
      <c r="Q7" s="12" t="s">
        <v>34</v>
      </c>
      <c r="R7" s="12" t="s">
        <v>35</v>
      </c>
      <c r="S7" s="18" t="s">
        <v>37</v>
      </c>
      <c r="T7" s="2" t="s">
        <v>6</v>
      </c>
      <c r="U7" s="2" t="s">
        <v>7</v>
      </c>
      <c r="V7" s="2" t="s">
        <v>40</v>
      </c>
    </row>
    <row r="8" spans="1:30" s="4" customFormat="1" x14ac:dyDescent="0.25">
      <c r="A8" s="11" t="s">
        <v>27</v>
      </c>
      <c r="B8" s="13">
        <v>2</v>
      </c>
      <c r="C8" s="13">
        <v>2</v>
      </c>
      <c r="D8" s="13">
        <v>2</v>
      </c>
      <c r="E8" s="13">
        <v>4</v>
      </c>
      <c r="F8" s="13">
        <v>4</v>
      </c>
      <c r="G8" s="13">
        <v>4</v>
      </c>
      <c r="H8" s="13">
        <v>4</v>
      </c>
      <c r="I8" s="13">
        <v>4</v>
      </c>
      <c r="J8" s="30">
        <v>4</v>
      </c>
      <c r="K8" s="13">
        <f>SUM(B8:J8)</f>
        <v>30</v>
      </c>
      <c r="L8" s="19">
        <f>K8/30*100</f>
        <v>100</v>
      </c>
      <c r="M8" s="13">
        <v>20</v>
      </c>
      <c r="N8" s="13">
        <v>20</v>
      </c>
      <c r="O8" s="13">
        <v>15</v>
      </c>
      <c r="P8" s="13">
        <v>15</v>
      </c>
      <c r="Q8" s="13">
        <f>SUM(M8:P8)</f>
        <v>70</v>
      </c>
      <c r="R8" s="13">
        <f>Q8/70*100</f>
        <v>100</v>
      </c>
      <c r="S8" s="19"/>
      <c r="T8" s="11">
        <f>SUM(K8,Q8)</f>
        <v>100</v>
      </c>
      <c r="U8" s="11"/>
      <c r="V8" s="1"/>
      <c r="W8"/>
      <c r="X8" s="1"/>
      <c r="Y8"/>
      <c r="Z8">
        <v>65</v>
      </c>
      <c r="AA8"/>
      <c r="AB8" s="6" t="s">
        <v>11</v>
      </c>
      <c r="AC8" s="4" t="s">
        <v>4</v>
      </c>
      <c r="AD8" s="4" t="s">
        <v>12</v>
      </c>
    </row>
    <row r="9" spans="1:30" x14ac:dyDescent="0.25">
      <c r="A9" s="11" t="s">
        <v>31</v>
      </c>
      <c r="B9" s="13"/>
      <c r="C9" s="13"/>
      <c r="D9" s="13"/>
      <c r="E9" s="13"/>
      <c r="F9" s="13"/>
      <c r="G9" s="13"/>
      <c r="H9" s="13"/>
      <c r="I9" s="13"/>
      <c r="J9" s="19"/>
      <c r="K9" s="13"/>
      <c r="L9" s="19"/>
      <c r="M9" s="13"/>
      <c r="N9" s="13"/>
      <c r="O9" s="13"/>
      <c r="P9" s="13"/>
      <c r="Q9" s="13"/>
      <c r="R9" s="13"/>
      <c r="S9" s="19"/>
      <c r="T9" s="11"/>
      <c r="U9" s="11"/>
      <c r="V9" s="1"/>
    </row>
    <row r="10" spans="1:30" s="4" customFormat="1" ht="16.5" x14ac:dyDescent="0.3">
      <c r="A10" t="s">
        <v>36</v>
      </c>
      <c r="B10" s="14">
        <v>1.4</v>
      </c>
      <c r="C10" s="14">
        <v>1.5</v>
      </c>
      <c r="D10" s="14">
        <v>2</v>
      </c>
      <c r="E10" s="14">
        <v>3.9</v>
      </c>
      <c r="F10" s="14">
        <v>3.7</v>
      </c>
      <c r="G10" s="14">
        <v>4</v>
      </c>
      <c r="H10" s="14">
        <v>3.8</v>
      </c>
      <c r="I10" s="14">
        <v>3.8</v>
      </c>
      <c r="J10" s="20">
        <v>4</v>
      </c>
      <c r="K10" s="14">
        <f t="shared" ref="K10:K15" si="0">SUM(B10:J10)</f>
        <v>28.1</v>
      </c>
      <c r="L10" s="22">
        <f>(K10/30)*100</f>
        <v>93.666666666666671</v>
      </c>
      <c r="M10" s="14">
        <v>9</v>
      </c>
      <c r="N10" s="14">
        <v>10</v>
      </c>
      <c r="O10" s="14">
        <v>2</v>
      </c>
      <c r="P10" s="14">
        <v>3</v>
      </c>
      <c r="Q10" s="13">
        <f>SUM(M10:P10)</f>
        <v>24</v>
      </c>
      <c r="R10" s="13">
        <f t="shared" ref="R10:R15" si="1">Q10/70*100</f>
        <v>34.285714285714285</v>
      </c>
      <c r="S10" s="29" t="str">
        <f>IF(Q10&gt;59.9,"VG",IF(Q10&gt;29.9,"G","U"))</f>
        <v>U</v>
      </c>
      <c r="T10" s="27">
        <f>SUM(K10,Q10)</f>
        <v>52.1</v>
      </c>
      <c r="U10" s="7"/>
      <c r="V10" s="7" t="s">
        <v>11</v>
      </c>
      <c r="W10"/>
      <c r="X10" s="1"/>
      <c r="Y10"/>
      <c r="Z10">
        <v>55</v>
      </c>
      <c r="AA10"/>
    </row>
    <row r="11" spans="1:30" ht="16.5" x14ac:dyDescent="0.3">
      <c r="A11" t="s">
        <v>41</v>
      </c>
      <c r="B11" s="14">
        <v>1.4</v>
      </c>
      <c r="C11" s="14">
        <v>1.7</v>
      </c>
      <c r="D11" s="14">
        <v>1.75</v>
      </c>
      <c r="E11" s="14">
        <v>3.9</v>
      </c>
      <c r="F11" s="14">
        <v>3.8</v>
      </c>
      <c r="G11" s="14">
        <v>4</v>
      </c>
      <c r="H11" s="14">
        <v>3.9</v>
      </c>
      <c r="I11" s="14">
        <v>3.9</v>
      </c>
      <c r="J11" s="20">
        <v>3.9</v>
      </c>
      <c r="K11" s="14">
        <f t="shared" si="0"/>
        <v>28.249999999999996</v>
      </c>
      <c r="L11" s="22">
        <f t="shared" ref="L11:L15" si="2">K11/30*100</f>
        <v>94.166666666666657</v>
      </c>
      <c r="M11" s="14">
        <v>9</v>
      </c>
      <c r="N11" s="14">
        <v>12</v>
      </c>
      <c r="O11" s="14">
        <v>5</v>
      </c>
      <c r="P11" s="14">
        <v>5</v>
      </c>
      <c r="Q11" s="13">
        <f t="shared" ref="Q11:Q15" si="3">SUM(M11:P11)</f>
        <v>31</v>
      </c>
      <c r="R11" s="13">
        <f t="shared" si="1"/>
        <v>44.285714285714285</v>
      </c>
      <c r="S11" s="29" t="str">
        <f t="shared" ref="S11:S17" si="4">IF(Q11&gt;59.9,"VG",IF(Q11&gt;29.9,"G","U"))</f>
        <v>G</v>
      </c>
      <c r="T11" s="27">
        <f t="shared" ref="T11:T15" si="5">SUM(K11,Q11)</f>
        <v>59.25</v>
      </c>
      <c r="U11" s="7"/>
      <c r="V11" s="7" t="s">
        <v>9</v>
      </c>
    </row>
    <row r="12" spans="1:30" s="4" customFormat="1" ht="16.5" x14ac:dyDescent="0.3">
      <c r="A12" t="s">
        <v>43</v>
      </c>
      <c r="B12" s="14">
        <v>1.5</v>
      </c>
      <c r="C12" s="14">
        <v>1.4</v>
      </c>
      <c r="D12" s="14">
        <v>1.7</v>
      </c>
      <c r="E12" s="14">
        <v>4</v>
      </c>
      <c r="F12" s="14">
        <v>3.8</v>
      </c>
      <c r="G12" s="14">
        <v>3.9</v>
      </c>
      <c r="H12" s="14">
        <v>3.6</v>
      </c>
      <c r="I12" s="14">
        <v>3.7</v>
      </c>
      <c r="J12" s="20">
        <v>3.9</v>
      </c>
      <c r="K12" s="14">
        <f t="shared" si="0"/>
        <v>27.499999999999996</v>
      </c>
      <c r="L12" s="22">
        <f t="shared" si="2"/>
        <v>91.666666666666657</v>
      </c>
      <c r="M12" s="14">
        <v>7</v>
      </c>
      <c r="N12" s="14">
        <v>11</v>
      </c>
      <c r="O12" s="14">
        <v>7</v>
      </c>
      <c r="P12" s="14">
        <v>5</v>
      </c>
      <c r="Q12" s="13">
        <f t="shared" si="3"/>
        <v>30</v>
      </c>
      <c r="R12" s="13">
        <f t="shared" si="1"/>
        <v>42.857142857142854</v>
      </c>
      <c r="S12" s="29" t="str">
        <f t="shared" si="4"/>
        <v>G</v>
      </c>
      <c r="T12" s="27">
        <f t="shared" si="5"/>
        <v>57.5</v>
      </c>
      <c r="U12" s="7"/>
      <c r="V12" s="7" t="s">
        <v>9</v>
      </c>
      <c r="W12"/>
      <c r="X12" s="1"/>
      <c r="Y12"/>
      <c r="Z12">
        <v>50</v>
      </c>
      <c r="AA12"/>
    </row>
    <row r="13" spans="1:30" ht="16.5" x14ac:dyDescent="0.3">
      <c r="A13" t="s">
        <v>44</v>
      </c>
      <c r="B13" s="14">
        <v>1.2</v>
      </c>
      <c r="C13" s="14">
        <v>1.6</v>
      </c>
      <c r="D13" s="14">
        <v>1.5</v>
      </c>
      <c r="E13" s="14">
        <v>3.7</v>
      </c>
      <c r="F13" s="14">
        <v>3.7</v>
      </c>
      <c r="G13" s="14">
        <v>3.3</v>
      </c>
      <c r="H13" s="14">
        <v>3.3</v>
      </c>
      <c r="I13" s="14">
        <v>3.2</v>
      </c>
      <c r="J13" s="20">
        <v>3.8</v>
      </c>
      <c r="K13" s="14">
        <f t="shared" si="0"/>
        <v>25.3</v>
      </c>
      <c r="L13" s="22">
        <f t="shared" si="2"/>
        <v>84.333333333333343</v>
      </c>
      <c r="M13" s="14">
        <v>15</v>
      </c>
      <c r="N13" s="14">
        <v>10</v>
      </c>
      <c r="O13" s="14">
        <v>5</v>
      </c>
      <c r="P13" s="14">
        <v>5</v>
      </c>
      <c r="Q13" s="13">
        <f t="shared" si="3"/>
        <v>35</v>
      </c>
      <c r="R13" s="13">
        <f t="shared" si="1"/>
        <v>50</v>
      </c>
      <c r="S13" s="29" t="str">
        <f t="shared" si="4"/>
        <v>G</v>
      </c>
      <c r="T13" s="27">
        <f t="shared" si="5"/>
        <v>60.3</v>
      </c>
      <c r="U13" s="7"/>
      <c r="V13" s="7" t="s">
        <v>9</v>
      </c>
    </row>
    <row r="14" spans="1:30" s="4" customFormat="1" ht="16.5" x14ac:dyDescent="0.3">
      <c r="A14" t="s">
        <v>45</v>
      </c>
      <c r="B14" s="14">
        <v>1.7</v>
      </c>
      <c r="C14" s="14">
        <v>1.5</v>
      </c>
      <c r="D14" s="14">
        <v>2</v>
      </c>
      <c r="E14" s="14">
        <v>3.9</v>
      </c>
      <c r="F14" s="14">
        <v>3.8</v>
      </c>
      <c r="G14" s="14">
        <v>4</v>
      </c>
      <c r="H14" s="14">
        <v>3.9</v>
      </c>
      <c r="I14" s="14">
        <v>3.8</v>
      </c>
      <c r="J14" s="20">
        <v>4</v>
      </c>
      <c r="K14" s="14">
        <f t="shared" si="0"/>
        <v>28.599999999999998</v>
      </c>
      <c r="L14" s="22">
        <f t="shared" si="2"/>
        <v>95.333333333333329</v>
      </c>
      <c r="M14" s="14">
        <v>14</v>
      </c>
      <c r="N14" s="14">
        <v>5</v>
      </c>
      <c r="O14" s="14">
        <v>3</v>
      </c>
      <c r="P14" s="14">
        <v>5</v>
      </c>
      <c r="Q14" s="13">
        <f t="shared" si="3"/>
        <v>27</v>
      </c>
      <c r="R14" s="13">
        <f t="shared" si="1"/>
        <v>38.571428571428577</v>
      </c>
      <c r="S14" s="29" t="str">
        <f t="shared" si="4"/>
        <v>U</v>
      </c>
      <c r="T14" s="27">
        <f t="shared" si="5"/>
        <v>55.599999999999994</v>
      </c>
      <c r="U14" s="7"/>
      <c r="V14" s="7" t="s">
        <v>11</v>
      </c>
      <c r="W14"/>
      <c r="X14" s="1"/>
      <c r="Y14"/>
      <c r="Z14" t="s">
        <v>12</v>
      </c>
      <c r="AA14"/>
    </row>
    <row r="15" spans="1:30" s="4" customFormat="1" ht="16.5" x14ac:dyDescent="0.3">
      <c r="A15" t="s">
        <v>46</v>
      </c>
      <c r="B15" s="14">
        <v>1.4</v>
      </c>
      <c r="C15" s="14">
        <v>1.6</v>
      </c>
      <c r="D15" s="14">
        <v>2</v>
      </c>
      <c r="E15" s="14">
        <v>3.9</v>
      </c>
      <c r="F15" s="14">
        <v>3.8</v>
      </c>
      <c r="G15" s="14">
        <v>4</v>
      </c>
      <c r="H15" s="14">
        <v>3.9</v>
      </c>
      <c r="I15" s="14">
        <v>3.3</v>
      </c>
      <c r="J15" s="20">
        <v>3.9</v>
      </c>
      <c r="K15" s="14">
        <f t="shared" si="0"/>
        <v>27.799999999999997</v>
      </c>
      <c r="L15" s="22">
        <f t="shared" si="2"/>
        <v>92.666666666666657</v>
      </c>
      <c r="M15" s="14">
        <v>15</v>
      </c>
      <c r="N15" s="14">
        <v>7</v>
      </c>
      <c r="O15" s="14">
        <v>8</v>
      </c>
      <c r="P15" s="14">
        <v>2</v>
      </c>
      <c r="Q15" s="13">
        <f t="shared" si="3"/>
        <v>32</v>
      </c>
      <c r="R15" s="13">
        <f t="shared" si="1"/>
        <v>45.714285714285715</v>
      </c>
      <c r="S15" s="29" t="str">
        <f t="shared" si="4"/>
        <v>G</v>
      </c>
      <c r="T15" s="27">
        <f t="shared" si="5"/>
        <v>59.8</v>
      </c>
      <c r="U15" s="7"/>
      <c r="V15" s="7" t="s">
        <v>9</v>
      </c>
      <c r="W15"/>
      <c r="X15"/>
      <c r="Y15"/>
      <c r="Z15"/>
      <c r="AA15"/>
      <c r="AB15"/>
      <c r="AC15"/>
      <c r="AD15"/>
    </row>
    <row r="16" spans="1:30" s="4" customFormat="1" ht="16.5" x14ac:dyDescent="0.3">
      <c r="A16" s="9"/>
      <c r="B16" s="9"/>
      <c r="C16" s="9"/>
      <c r="D16" s="9"/>
      <c r="E16" s="9"/>
      <c r="F16" s="9"/>
      <c r="G16" s="9"/>
      <c r="H16" s="9"/>
      <c r="I16" s="9"/>
      <c r="J16" s="21"/>
      <c r="K16" s="9"/>
      <c r="L16" s="23"/>
      <c r="M16" s="9"/>
      <c r="N16" s="9"/>
      <c r="O16" s="9"/>
      <c r="P16" s="9"/>
      <c r="Q16" s="9"/>
      <c r="R16" s="9"/>
      <c r="S16" s="29"/>
      <c r="T16" s="28"/>
      <c r="U16" s="7"/>
      <c r="V16" s="7"/>
      <c r="W16"/>
      <c r="X16"/>
      <c r="Y16"/>
      <c r="Z16"/>
      <c r="AA16"/>
      <c r="AB16"/>
      <c r="AC16"/>
      <c r="AD16"/>
    </row>
    <row r="17" spans="1:30" s="4" customFormat="1" ht="16.5" x14ac:dyDescent="0.3">
      <c r="A17" s="4" t="s">
        <v>28</v>
      </c>
      <c r="B17" s="25">
        <f t="shared" ref="B17:P17" si="6">AVERAGE(B10:B15)</f>
        <v>1.4333333333333333</v>
      </c>
      <c r="C17" s="25">
        <f t="shared" si="6"/>
        <v>1.5499999999999998</v>
      </c>
      <c r="D17" s="25">
        <f t="shared" si="6"/>
        <v>1.825</v>
      </c>
      <c r="E17" s="25">
        <f t="shared" si="6"/>
        <v>3.8833333333333329</v>
      </c>
      <c r="F17" s="25">
        <f t="shared" si="6"/>
        <v>3.7666666666666671</v>
      </c>
      <c r="G17" s="25">
        <f t="shared" si="6"/>
        <v>3.8666666666666667</v>
      </c>
      <c r="H17" s="25">
        <f t="shared" si="6"/>
        <v>3.7333333333333325</v>
      </c>
      <c r="I17" s="25">
        <f t="shared" si="6"/>
        <v>3.6166666666666667</v>
      </c>
      <c r="J17" s="24">
        <f t="shared" si="6"/>
        <v>3.9166666666666665</v>
      </c>
      <c r="K17" s="26">
        <f t="shared" si="6"/>
        <v>27.591666666666669</v>
      </c>
      <c r="L17" s="24">
        <f t="shared" si="6"/>
        <v>91.972222222222229</v>
      </c>
      <c r="M17" s="25">
        <f t="shared" si="6"/>
        <v>11.5</v>
      </c>
      <c r="N17" s="25">
        <f t="shared" si="6"/>
        <v>9.1666666666666661</v>
      </c>
      <c r="O17" s="25">
        <f t="shared" si="6"/>
        <v>5</v>
      </c>
      <c r="P17" s="25">
        <f t="shared" si="6"/>
        <v>4.166666666666667</v>
      </c>
      <c r="Q17" s="25">
        <f t="shared" ref="Q17:R17" si="7">AVERAGE(Q10:Q15)</f>
        <v>29.833333333333332</v>
      </c>
      <c r="R17" s="25">
        <f t="shared" si="7"/>
        <v>42.61904761904762</v>
      </c>
      <c r="S17" s="29" t="str">
        <f t="shared" si="4"/>
        <v>U</v>
      </c>
      <c r="T17" s="25">
        <f>AVERAGE(T10:T15)</f>
        <v>57.425000000000004</v>
      </c>
      <c r="U17" s="7"/>
      <c r="V17" s="7"/>
      <c r="W17"/>
      <c r="X17"/>
      <c r="Y17"/>
      <c r="Z17"/>
      <c r="AA17"/>
      <c r="AB17"/>
      <c r="AC17"/>
      <c r="AD17"/>
    </row>
    <row r="18" spans="1:30" ht="16.5" x14ac:dyDescent="0.3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U18" s="7"/>
      <c r="V18" s="7"/>
    </row>
    <row r="19" spans="1:30" s="4" customFormat="1" ht="16.5" x14ac:dyDescent="0.3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 s="7"/>
      <c r="V19" s="7"/>
      <c r="W19"/>
      <c r="X19"/>
      <c r="Y19"/>
      <c r="Z19"/>
      <c r="AA19"/>
      <c r="AB19"/>
      <c r="AC19"/>
      <c r="AD19"/>
    </row>
    <row r="20" spans="1:30" s="4" customFormat="1" x14ac:dyDescent="0.25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</row>
    <row r="21" spans="1:30" x14ac:dyDescent="0.2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</row>
    <row r="22" spans="1:30" s="4" customFormat="1" x14ac:dyDescent="0.25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</row>
    <row r="23" spans="1:30" x14ac:dyDescent="0.2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</row>
    <row r="24" spans="1:30" s="4" customFormat="1" x14ac:dyDescent="0.25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</row>
    <row r="25" spans="1:30" x14ac:dyDescent="0.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</row>
    <row r="26" spans="1:30" s="4" customFormat="1" x14ac:dyDescent="0.25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</row>
    <row r="27" spans="1:30" x14ac:dyDescent="0.2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</row>
    <row r="28" spans="1:30" s="4" customFormat="1" x14ac:dyDescent="0.25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</row>
    <row r="29" spans="1:30" x14ac:dyDescent="0.2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</row>
    <row r="30" spans="1:30" s="4" customFormat="1" x14ac:dyDescent="0.25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</row>
    <row r="31" spans="1:30" x14ac:dyDescent="0.2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</row>
    <row r="32" spans="1:30" s="4" customFormat="1" x14ac:dyDescent="0.25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</row>
    <row r="33" spans="1:30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</row>
    <row r="34" spans="1:30" s="4" customFormat="1" x14ac:dyDescent="0.25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</row>
    <row r="35" spans="1:30" x14ac:dyDescent="0.2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</row>
    <row r="36" spans="1:30" s="4" customFormat="1" x14ac:dyDescent="0.25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</row>
    <row r="37" spans="1:30" x14ac:dyDescent="0.2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</row>
    <row r="38" spans="1:30" s="4" customFormat="1" x14ac:dyDescent="0.25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</row>
    <row r="39" spans="1:30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</row>
    <row r="40" spans="1:30" s="4" customFormat="1" x14ac:dyDescent="0.25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</row>
    <row r="41" spans="1:30" x14ac:dyDescent="0.2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</row>
    <row r="42" spans="1:30" s="4" customFormat="1" x14ac:dyDescent="0.25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</row>
    <row r="43" spans="1:30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</row>
    <row r="44" spans="1:30" s="4" customFormat="1" x14ac:dyDescent="0.25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</row>
    <row r="45" spans="1:30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</row>
    <row r="46" spans="1:30" s="4" customFormat="1" x14ac:dyDescent="0.25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</row>
    <row r="47" spans="1:30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</row>
    <row r="48" spans="1:30" s="4" customFormat="1" x14ac:dyDescent="0.25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</row>
    <row r="49" spans="1:30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</row>
    <row r="50" spans="1:30" s="4" customFormat="1" x14ac:dyDescent="0.25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</row>
    <row r="51" spans="1:30" x14ac:dyDescent="0.2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</row>
    <row r="52" spans="1:30" s="4" customFormat="1" x14ac:dyDescent="0.25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</row>
    <row r="53" spans="1:30" x14ac:dyDescent="0.2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</row>
    <row r="54" spans="1:30" s="4" customFormat="1" x14ac:dyDescent="0.25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</row>
    <row r="55" spans="1:30" x14ac:dyDescent="0.2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</row>
    <row r="56" spans="1:30" s="4" customFormat="1" x14ac:dyDescent="0.25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</row>
    <row r="57" spans="1:30" x14ac:dyDescent="0.2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</row>
    <row r="58" spans="1:30" s="4" customFormat="1" x14ac:dyDescent="0.25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</row>
    <row r="59" spans="1:30" x14ac:dyDescent="0.2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</row>
    <row r="60" spans="1:30" s="4" customFormat="1" x14ac:dyDescent="0.25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</row>
    <row r="61" spans="1:30" x14ac:dyDescent="0.2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</row>
    <row r="62" spans="1:30" s="4" customFormat="1" x14ac:dyDescent="0.2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</row>
    <row r="63" spans="1:30" x14ac:dyDescent="0.2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</row>
    <row r="64" spans="1:30" s="4" customFormat="1" x14ac:dyDescent="0.25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</row>
    <row r="65" spans="1:30" x14ac:dyDescent="0.2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</row>
    <row r="66" spans="1:30" s="4" customFormat="1" x14ac:dyDescent="0.2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</row>
    <row r="67" spans="1:30" x14ac:dyDescent="0.2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</row>
    <row r="68" spans="1:30" s="4" customFormat="1" x14ac:dyDescent="0.25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</row>
    <row r="69" spans="1:30" x14ac:dyDescent="0.2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</row>
    <row r="70" spans="1:30" s="4" customFormat="1" x14ac:dyDescent="0.25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</row>
    <row r="71" spans="1:30" x14ac:dyDescent="0.2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</row>
    <row r="72" spans="1:30" s="4" customFormat="1" x14ac:dyDescent="0.2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</row>
    <row r="73" spans="1:30" x14ac:dyDescent="0.2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</row>
    <row r="74" spans="1:30" s="4" customFormat="1" x14ac:dyDescent="0.25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</row>
    <row r="75" spans="1:30" x14ac:dyDescent="0.2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</row>
    <row r="76" spans="1:30" s="4" customFormat="1" x14ac:dyDescent="0.25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</row>
    <row r="77" spans="1:30" x14ac:dyDescent="0.2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</row>
    <row r="78" spans="1:30" s="4" customFormat="1" x14ac:dyDescent="0.2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</row>
    <row r="79" spans="1:30" x14ac:dyDescent="0.2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</row>
    <row r="80" spans="1:30" s="4" customFormat="1" x14ac:dyDescent="0.25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</row>
    <row r="81" spans="1:30" x14ac:dyDescent="0.2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</row>
    <row r="82" spans="1:30" s="4" customFormat="1" x14ac:dyDescent="0.2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</row>
    <row r="83" spans="1:30" x14ac:dyDescent="0.2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</row>
    <row r="84" spans="1:30" s="4" customFormat="1" x14ac:dyDescent="0.25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</row>
    <row r="85" spans="1:30" x14ac:dyDescent="0.2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</row>
    <row r="86" spans="1:30" s="4" customFormat="1" x14ac:dyDescent="0.25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</row>
    <row r="87" spans="1:30" x14ac:dyDescent="0.2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</row>
    <row r="88" spans="1:30" s="4" customFormat="1" x14ac:dyDescent="0.25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</row>
    <row r="89" spans="1:30" x14ac:dyDescent="0.2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</row>
    <row r="90" spans="1:30" s="4" customFormat="1" x14ac:dyDescent="0.25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</row>
    <row r="91" spans="1:30" ht="15" customHeight="1" x14ac:dyDescent="0.2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</row>
    <row r="92" spans="1:30" s="4" customFormat="1" x14ac:dyDescent="0.2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</row>
    <row r="93" spans="1:30" x14ac:dyDescent="0.2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</row>
    <row r="94" spans="1:30" s="4" customFormat="1" x14ac:dyDescent="0.25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</row>
    <row r="95" spans="1:30" x14ac:dyDescent="0.2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</row>
    <row r="96" spans="1:30" s="4" customFormat="1" x14ac:dyDescent="0.25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</row>
    <row r="97" spans="1:30" x14ac:dyDescent="0.2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</row>
    <row r="98" spans="1:30" s="4" customFormat="1" x14ac:dyDescent="0.25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</row>
    <row r="99" spans="1:30" x14ac:dyDescent="0.2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</row>
    <row r="100" spans="1:30" s="4" customFormat="1" x14ac:dyDescent="0.25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</row>
    <row r="101" spans="1:30" x14ac:dyDescent="0.2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</row>
    <row r="102" spans="1:30" s="4" customFormat="1" x14ac:dyDescent="0.2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</row>
    <row r="103" spans="1:30" x14ac:dyDescent="0.2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</row>
    <row r="104" spans="1:30" s="4" customFormat="1" x14ac:dyDescent="0.25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</row>
    <row r="105" spans="1:30" x14ac:dyDescent="0.2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</row>
    <row r="106" spans="1:30" s="4" customFormat="1" x14ac:dyDescent="0.25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</row>
    <row r="107" spans="1:30" x14ac:dyDescent="0.2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</row>
    <row r="108" spans="1:30" s="4" customFormat="1" x14ac:dyDescent="0.25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</row>
    <row r="109" spans="1:30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</row>
    <row r="110" spans="1:30" s="4" customFormat="1" x14ac:dyDescent="0.25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</row>
    <row r="111" spans="1:30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</row>
    <row r="112" spans="1:30" s="4" customFormat="1" x14ac:dyDescent="0.25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</row>
    <row r="113" spans="1:30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</row>
    <row r="114" spans="1:30" s="4" customFormat="1" x14ac:dyDescent="0.25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</row>
    <row r="115" spans="1:30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</row>
    <row r="116" spans="1:30" s="4" customFormat="1" x14ac:dyDescent="0.25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</row>
    <row r="117" spans="1:30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</row>
    <row r="118" spans="1:30" s="4" customFormat="1" x14ac:dyDescent="0.25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</row>
    <row r="119" spans="1:30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</row>
    <row r="120" spans="1:30" s="4" customFormat="1" x14ac:dyDescent="0.25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</row>
    <row r="121" spans="1:30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</row>
    <row r="122" spans="1:30" s="4" customFormat="1" x14ac:dyDescent="0.25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</row>
    <row r="123" spans="1:30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</row>
    <row r="124" spans="1:30" s="4" customFormat="1" x14ac:dyDescent="0.25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</row>
    <row r="125" spans="1:30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</row>
    <row r="126" spans="1:30" s="4" customFormat="1" x14ac:dyDescent="0.25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</row>
    <row r="127" spans="1:30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</row>
    <row r="128" spans="1:30" s="4" customFormat="1" x14ac:dyDescent="0.25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</row>
    <row r="129" spans="1:30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</row>
    <row r="130" spans="1:30" s="4" customFormat="1" x14ac:dyDescent="0.25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</row>
    <row r="131" spans="1:30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</row>
    <row r="132" spans="1:30" s="4" customFormat="1" x14ac:dyDescent="0.25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</row>
    <row r="133" spans="1:30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</row>
    <row r="134" spans="1:30" s="4" customFormat="1" x14ac:dyDescent="0.25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</row>
    <row r="135" spans="1:30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</row>
    <row r="136" spans="1:30" s="4" customFormat="1" x14ac:dyDescent="0.25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</row>
    <row r="137" spans="1:30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</row>
    <row r="138" spans="1:30" s="4" customFormat="1" x14ac:dyDescent="0.25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</row>
    <row r="139" spans="1:30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</row>
    <row r="140" spans="1:30" s="4" customFormat="1" x14ac:dyDescent="0.25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</row>
    <row r="142" spans="1:30" s="4" customFormat="1" x14ac:dyDescent="0.25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</row>
    <row r="144" spans="1:30" s="4" customFormat="1" x14ac:dyDescent="0.25">
      <c r="A144"/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</row>
  </sheetData>
  <mergeCells count="1">
    <mergeCell ref="B6:D6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37"/>
  <sheetViews>
    <sheetView zoomScale="103" workbookViewId="0">
      <selection activeCell="B15" sqref="B15:E15"/>
    </sheetView>
  </sheetViews>
  <sheetFormatPr defaultRowHeight="15" x14ac:dyDescent="0.25"/>
  <cols>
    <col min="1" max="1" width="18.28515625" customWidth="1"/>
    <col min="2" max="2" width="10.85546875" bestFit="1" customWidth="1"/>
    <col min="6" max="6" width="11.28515625" customWidth="1"/>
    <col min="7" max="7" width="13.5703125" style="27" customWidth="1"/>
    <col min="8" max="8" width="11.42578125" customWidth="1"/>
    <col min="9" max="9" width="10.42578125" customWidth="1"/>
    <col min="10" max="10" width="11.5703125" style="9" customWidth="1"/>
    <col min="11" max="11" width="12.85546875" style="9" customWidth="1"/>
    <col min="12" max="12" width="9.140625" style="9" customWidth="1"/>
    <col min="13" max="20" width="8.85546875" style="9"/>
  </cols>
  <sheetData>
    <row r="1" spans="1:20" x14ac:dyDescent="0.25">
      <c r="A1" s="1" t="s">
        <v>0</v>
      </c>
      <c r="B1" s="1" t="s">
        <v>39</v>
      </c>
      <c r="M1" s="32"/>
    </row>
    <row r="2" spans="1:20" x14ac:dyDescent="0.25">
      <c r="A2" s="1" t="s">
        <v>2</v>
      </c>
      <c r="B2" s="1" t="s">
        <v>38</v>
      </c>
    </row>
    <row r="3" spans="1:20" x14ac:dyDescent="0.25">
      <c r="A3" s="1"/>
      <c r="B3" s="8"/>
    </row>
    <row r="4" spans="1:20" x14ac:dyDescent="0.25">
      <c r="A4" s="1"/>
      <c r="B4" s="8"/>
    </row>
    <row r="5" spans="1:20" x14ac:dyDescent="0.25">
      <c r="A5" s="1"/>
      <c r="B5" s="1" t="s">
        <v>30</v>
      </c>
      <c r="H5" s="16"/>
    </row>
    <row r="6" spans="1:20" x14ac:dyDescent="0.25">
      <c r="B6" s="31"/>
      <c r="C6" s="31"/>
      <c r="D6" s="31"/>
      <c r="E6" s="31"/>
      <c r="F6" s="31"/>
      <c r="G6" s="34"/>
      <c r="H6" s="17"/>
    </row>
    <row r="7" spans="1:20" x14ac:dyDescent="0.25">
      <c r="A7" s="2"/>
      <c r="B7" s="12">
        <v>1</v>
      </c>
      <c r="C7" s="12">
        <v>2</v>
      </c>
      <c r="D7" s="12">
        <v>3</v>
      </c>
      <c r="E7" s="12">
        <v>4</v>
      </c>
      <c r="F7" s="12" t="s">
        <v>34</v>
      </c>
      <c r="G7" s="35" t="s">
        <v>35</v>
      </c>
      <c r="H7" s="18" t="s">
        <v>37</v>
      </c>
    </row>
    <row r="8" spans="1:20" s="4" customFormat="1" x14ac:dyDescent="0.25">
      <c r="A8" s="11" t="s">
        <v>27</v>
      </c>
      <c r="B8" s="13">
        <v>20</v>
      </c>
      <c r="C8" s="13">
        <v>20</v>
      </c>
      <c r="D8" s="13">
        <v>15</v>
      </c>
      <c r="E8" s="13">
        <v>15</v>
      </c>
      <c r="F8" s="13">
        <f>SUM(B8:E8)</f>
        <v>70</v>
      </c>
      <c r="G8" s="36">
        <f>F8/70*100</f>
        <v>100</v>
      </c>
      <c r="H8" s="19"/>
      <c r="I8"/>
      <c r="J8" s="9" t="s">
        <v>48</v>
      </c>
      <c r="K8" s="9"/>
      <c r="L8" s="9"/>
      <c r="M8" s="9"/>
      <c r="N8" s="9"/>
      <c r="O8" s="9"/>
      <c r="P8" s="9"/>
      <c r="Q8" s="9"/>
      <c r="R8" s="9"/>
      <c r="S8" s="9"/>
      <c r="T8" s="9"/>
    </row>
    <row r="9" spans="1:20" x14ac:dyDescent="0.25">
      <c r="A9" s="11" t="s">
        <v>31</v>
      </c>
      <c r="B9" s="13"/>
      <c r="C9" s="13"/>
      <c r="D9" s="13"/>
      <c r="E9" s="13"/>
      <c r="F9" s="13"/>
      <c r="G9" s="36"/>
      <c r="H9" s="19"/>
    </row>
    <row r="10" spans="1:20" s="4" customFormat="1" ht="16.5" x14ac:dyDescent="0.3">
      <c r="A10">
        <v>1</v>
      </c>
      <c r="B10" s="14">
        <v>14</v>
      </c>
      <c r="C10" s="14">
        <v>5</v>
      </c>
      <c r="D10" s="14">
        <v>3</v>
      </c>
      <c r="E10" s="14">
        <v>5</v>
      </c>
      <c r="F10" s="13">
        <f>SUM(B10:E10)</f>
        <v>27</v>
      </c>
      <c r="G10" s="36">
        <f t="shared" ref="G10:G15" si="0">F10/70*100</f>
        <v>38.571428571428577</v>
      </c>
      <c r="H10" s="29" t="str">
        <f>IF(F10&gt;59.9,"VG",IF(F10&gt;29.9,"G","U"))</f>
        <v>U</v>
      </c>
      <c r="I10"/>
      <c r="J10" t="s">
        <v>45</v>
      </c>
      <c r="K10" s="9"/>
      <c r="L10" s="9"/>
      <c r="M10" s="9"/>
      <c r="N10" s="9"/>
      <c r="O10" s="9"/>
      <c r="P10" s="9"/>
      <c r="Q10" s="9"/>
      <c r="R10" s="9"/>
      <c r="S10" s="9"/>
      <c r="T10" s="9"/>
    </row>
    <row r="11" spans="1:20" ht="16.5" x14ac:dyDescent="0.3">
      <c r="A11">
        <v>2</v>
      </c>
      <c r="B11" s="14">
        <v>9</v>
      </c>
      <c r="C11" s="14">
        <v>12</v>
      </c>
      <c r="D11" s="14">
        <v>5</v>
      </c>
      <c r="E11" s="14">
        <v>5</v>
      </c>
      <c r="F11" s="13">
        <f t="shared" ref="F11:F15" si="1">SUM(B11:E11)</f>
        <v>31</v>
      </c>
      <c r="G11" s="36">
        <f t="shared" si="0"/>
        <v>44.285714285714285</v>
      </c>
      <c r="H11" s="29" t="str">
        <f t="shared" ref="H11:H17" si="2">IF(F11&gt;59.9,"VG",IF(F11&gt;29.9,"G","U"))</f>
        <v>G</v>
      </c>
      <c r="J11" t="s">
        <v>41</v>
      </c>
    </row>
    <row r="12" spans="1:20" s="4" customFormat="1" ht="16.5" x14ac:dyDescent="0.3">
      <c r="A12">
        <v>3</v>
      </c>
      <c r="B12" s="14">
        <v>9</v>
      </c>
      <c r="C12" s="14">
        <v>10</v>
      </c>
      <c r="D12" s="14">
        <v>2</v>
      </c>
      <c r="E12" s="14">
        <v>3</v>
      </c>
      <c r="F12" s="13">
        <f t="shared" si="1"/>
        <v>24</v>
      </c>
      <c r="G12" s="36">
        <f t="shared" si="0"/>
        <v>34.285714285714285</v>
      </c>
      <c r="H12" s="29" t="str">
        <f t="shared" si="2"/>
        <v>U</v>
      </c>
      <c r="I12"/>
      <c r="J12" t="s">
        <v>36</v>
      </c>
      <c r="K12" s="9"/>
      <c r="L12" s="9"/>
      <c r="M12" s="9"/>
      <c r="N12" s="9"/>
      <c r="O12" s="9"/>
      <c r="P12" s="9"/>
      <c r="Q12" s="9"/>
      <c r="R12" s="9"/>
      <c r="S12" s="9"/>
      <c r="T12" s="9"/>
    </row>
    <row r="13" spans="1:20" ht="16.5" x14ac:dyDescent="0.3">
      <c r="A13">
        <v>4</v>
      </c>
      <c r="B13" s="14">
        <v>15</v>
      </c>
      <c r="C13" s="14">
        <v>10</v>
      </c>
      <c r="D13" s="14">
        <v>5</v>
      </c>
      <c r="E13" s="14">
        <v>5</v>
      </c>
      <c r="F13" s="13">
        <f t="shared" si="1"/>
        <v>35</v>
      </c>
      <c r="G13" s="36">
        <f t="shared" si="0"/>
        <v>50</v>
      </c>
      <c r="H13" s="29" t="str">
        <f t="shared" si="2"/>
        <v>G</v>
      </c>
      <c r="J13" t="s">
        <v>49</v>
      </c>
    </row>
    <row r="14" spans="1:20" s="4" customFormat="1" ht="16.5" x14ac:dyDescent="0.3">
      <c r="A14">
        <v>5</v>
      </c>
      <c r="B14" s="14">
        <v>15</v>
      </c>
      <c r="C14" s="14">
        <v>7</v>
      </c>
      <c r="D14" s="14">
        <v>8</v>
      </c>
      <c r="E14" s="14">
        <v>2</v>
      </c>
      <c r="F14" s="13">
        <f t="shared" si="1"/>
        <v>32</v>
      </c>
      <c r="G14" s="36">
        <f t="shared" si="0"/>
        <v>45.714285714285715</v>
      </c>
      <c r="H14" s="29" t="str">
        <f t="shared" si="2"/>
        <v>G</v>
      </c>
      <c r="I14"/>
      <c r="J14" t="s">
        <v>46</v>
      </c>
      <c r="K14" s="9"/>
      <c r="L14" s="9"/>
      <c r="M14" s="9"/>
      <c r="N14" s="9"/>
      <c r="O14" s="9"/>
      <c r="P14" s="9"/>
      <c r="Q14" s="9"/>
      <c r="R14" s="9"/>
      <c r="S14" s="9"/>
      <c r="T14" s="9"/>
    </row>
    <row r="15" spans="1:20" s="4" customFormat="1" ht="16.5" x14ac:dyDescent="0.3">
      <c r="A15">
        <v>6</v>
      </c>
      <c r="B15" s="14">
        <v>7</v>
      </c>
      <c r="C15" s="14">
        <v>11</v>
      </c>
      <c r="D15" s="14">
        <v>7</v>
      </c>
      <c r="E15" s="14">
        <v>5</v>
      </c>
      <c r="F15" s="13">
        <f t="shared" si="1"/>
        <v>30</v>
      </c>
      <c r="G15" s="36">
        <f t="shared" si="0"/>
        <v>42.857142857142854</v>
      </c>
      <c r="H15" s="29" t="str">
        <f t="shared" si="2"/>
        <v>G</v>
      </c>
      <c r="I15"/>
      <c r="J15" t="s">
        <v>43</v>
      </c>
      <c r="K15" s="9"/>
      <c r="L15" s="9"/>
      <c r="M15" s="9"/>
      <c r="N15" s="9"/>
      <c r="O15" s="9"/>
      <c r="P15" s="9"/>
      <c r="Q15" s="9"/>
      <c r="R15" s="9"/>
      <c r="S15" s="9"/>
      <c r="T15" s="9"/>
    </row>
    <row r="16" spans="1:20" s="4" customFormat="1" ht="16.5" x14ac:dyDescent="0.3">
      <c r="A16" s="9"/>
      <c r="B16" s="9"/>
      <c r="C16" s="9"/>
      <c r="D16" s="9"/>
      <c r="E16" s="9"/>
      <c r="F16" s="9"/>
      <c r="G16" s="28"/>
      <c r="H16" s="29"/>
      <c r="I16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</row>
    <row r="17" spans="1:20" s="4" customFormat="1" ht="16.5" x14ac:dyDescent="0.3">
      <c r="A17" s="4" t="s">
        <v>28</v>
      </c>
      <c r="B17" s="25">
        <f t="shared" ref="B17:G17" si="3">AVERAGE(B10:B15)</f>
        <v>11.5</v>
      </c>
      <c r="C17" s="25">
        <f t="shared" si="3"/>
        <v>9.1666666666666661</v>
      </c>
      <c r="D17" s="25">
        <f t="shared" si="3"/>
        <v>5</v>
      </c>
      <c r="E17" s="25">
        <f t="shared" si="3"/>
        <v>4.166666666666667</v>
      </c>
      <c r="F17" s="25">
        <f t="shared" si="3"/>
        <v>29.833333333333332</v>
      </c>
      <c r="G17" s="25">
        <f t="shared" si="3"/>
        <v>42.61904761904762</v>
      </c>
      <c r="H17" s="29" t="str">
        <f t="shared" si="2"/>
        <v>U</v>
      </c>
      <c r="I17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</row>
    <row r="18" spans="1:20" ht="16.5" x14ac:dyDescent="0.3">
      <c r="A18" s="9" t="s">
        <v>47</v>
      </c>
      <c r="B18" s="28">
        <f>B17/B8*100</f>
        <v>57.499999999999993</v>
      </c>
      <c r="C18" s="28">
        <f t="shared" ref="C18:E18" si="4">C17/C8*100</f>
        <v>45.833333333333329</v>
      </c>
      <c r="D18" s="28">
        <f t="shared" si="4"/>
        <v>33.333333333333329</v>
      </c>
      <c r="E18" s="28">
        <f t="shared" si="4"/>
        <v>27.777777777777779</v>
      </c>
      <c r="F18" s="9"/>
      <c r="G18" s="28"/>
      <c r="H18" s="9"/>
      <c r="I18" s="9"/>
      <c r="K18" s="33"/>
      <c r="L18" s="33"/>
    </row>
    <row r="19" spans="1:20" s="4" customFormat="1" ht="16.5" x14ac:dyDescent="0.3">
      <c r="A19"/>
      <c r="B19"/>
      <c r="C19"/>
      <c r="D19"/>
      <c r="E19"/>
      <c r="F19"/>
      <c r="G19" s="27"/>
      <c r="H19"/>
      <c r="I19"/>
      <c r="J19" s="9"/>
      <c r="K19" s="33"/>
      <c r="L19" s="33"/>
      <c r="M19" s="9"/>
      <c r="N19" s="9"/>
      <c r="O19" s="9"/>
      <c r="P19" s="9"/>
      <c r="Q19" s="9"/>
      <c r="R19" s="9"/>
      <c r="S19" s="9"/>
      <c r="T19" s="9"/>
    </row>
    <row r="20" spans="1:20" x14ac:dyDescent="0.25">
      <c r="A20" s="4"/>
      <c r="B20" s="4"/>
      <c r="C20" s="4"/>
      <c r="D20" s="4"/>
      <c r="E20" s="4"/>
      <c r="F20" s="4"/>
      <c r="G20" s="25"/>
      <c r="H20" s="4"/>
      <c r="I20" s="4"/>
    </row>
    <row r="21" spans="1:20" s="4" customFormat="1" x14ac:dyDescent="0.25">
      <c r="A21"/>
      <c r="B21"/>
      <c r="C21"/>
      <c r="D21"/>
      <c r="E21"/>
      <c r="F21"/>
      <c r="G21" s="27"/>
      <c r="H21"/>
      <c r="I21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</row>
    <row r="22" spans="1:20" x14ac:dyDescent="0.25">
      <c r="A22" s="4"/>
      <c r="B22" s="4"/>
      <c r="C22" s="4"/>
      <c r="D22" s="4"/>
      <c r="E22" s="4"/>
      <c r="F22" s="4"/>
      <c r="G22" s="25"/>
      <c r="H22" s="4"/>
      <c r="I22" s="4"/>
    </row>
    <row r="23" spans="1:20" s="4" customFormat="1" x14ac:dyDescent="0.25">
      <c r="A23"/>
      <c r="B23"/>
      <c r="C23"/>
      <c r="D23"/>
      <c r="E23"/>
      <c r="F23"/>
      <c r="G23" s="27"/>
      <c r="H23"/>
      <c r="I23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</row>
    <row r="24" spans="1:20" x14ac:dyDescent="0.25">
      <c r="A24" s="4"/>
      <c r="B24" s="4"/>
      <c r="C24" s="4"/>
      <c r="D24" s="4"/>
      <c r="E24" s="4"/>
      <c r="F24" s="4"/>
      <c r="G24" s="25"/>
      <c r="H24" s="4"/>
      <c r="I24" s="4"/>
    </row>
    <row r="25" spans="1:20" s="4" customFormat="1" x14ac:dyDescent="0.25">
      <c r="A25"/>
      <c r="B25"/>
      <c r="C25"/>
      <c r="D25"/>
      <c r="E25"/>
      <c r="F25"/>
      <c r="G25" s="27"/>
      <c r="H25"/>
      <c r="I25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</row>
    <row r="26" spans="1:20" x14ac:dyDescent="0.25">
      <c r="A26" s="4"/>
      <c r="B26" s="4"/>
      <c r="C26" s="4"/>
      <c r="D26" s="4"/>
      <c r="E26" s="4"/>
      <c r="F26" s="4"/>
      <c r="G26" s="25"/>
      <c r="H26" s="4"/>
      <c r="I26" s="4"/>
    </row>
    <row r="27" spans="1:20" s="4" customFormat="1" x14ac:dyDescent="0.25">
      <c r="A27"/>
      <c r="B27"/>
      <c r="C27"/>
      <c r="D27"/>
      <c r="E27"/>
      <c r="F27"/>
      <c r="G27" s="27"/>
      <c r="H27"/>
      <c r="I27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</row>
    <row r="28" spans="1:20" x14ac:dyDescent="0.25">
      <c r="A28" s="4"/>
      <c r="B28" s="4"/>
      <c r="C28" s="4"/>
      <c r="D28" s="4"/>
      <c r="E28" s="4"/>
      <c r="F28" s="4"/>
      <c r="G28" s="25"/>
      <c r="H28" s="4"/>
      <c r="I28" s="4"/>
    </row>
    <row r="29" spans="1:20" s="4" customFormat="1" x14ac:dyDescent="0.25">
      <c r="A29"/>
      <c r="B29"/>
      <c r="C29"/>
      <c r="D29"/>
      <c r="E29"/>
      <c r="F29"/>
      <c r="G29" s="27"/>
      <c r="H29"/>
      <c r="I2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</row>
    <row r="30" spans="1:20" x14ac:dyDescent="0.25">
      <c r="A30" s="4"/>
      <c r="B30" s="4"/>
      <c r="C30" s="4"/>
      <c r="D30" s="4"/>
      <c r="E30" s="4"/>
      <c r="F30" s="4"/>
      <c r="G30" s="25"/>
      <c r="H30" s="4"/>
      <c r="I30" s="4"/>
    </row>
    <row r="31" spans="1:20" s="4" customFormat="1" x14ac:dyDescent="0.25">
      <c r="A31"/>
      <c r="B31"/>
      <c r="C31"/>
      <c r="D31"/>
      <c r="E31"/>
      <c r="F31"/>
      <c r="G31" s="27"/>
      <c r="H31"/>
      <c r="I31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</row>
    <row r="32" spans="1:20" x14ac:dyDescent="0.25">
      <c r="A32" s="4"/>
      <c r="B32" s="4"/>
      <c r="C32" s="4"/>
      <c r="D32" s="4"/>
      <c r="E32" s="4"/>
      <c r="F32" s="4"/>
      <c r="G32" s="25"/>
      <c r="H32" s="4"/>
      <c r="I32" s="4"/>
    </row>
    <row r="33" spans="1:20" s="4" customFormat="1" x14ac:dyDescent="0.25">
      <c r="A33"/>
      <c r="B33"/>
      <c r="C33"/>
      <c r="D33"/>
      <c r="E33"/>
      <c r="F33"/>
      <c r="G33" s="27"/>
      <c r="H33"/>
      <c r="I33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</row>
    <row r="34" spans="1:20" x14ac:dyDescent="0.25">
      <c r="A34" s="4"/>
      <c r="B34" s="4"/>
      <c r="C34" s="4"/>
      <c r="D34" s="4"/>
      <c r="E34" s="4"/>
      <c r="F34" s="4"/>
      <c r="G34" s="25"/>
      <c r="H34" s="4"/>
      <c r="I34" s="4"/>
    </row>
    <row r="35" spans="1:20" s="4" customFormat="1" x14ac:dyDescent="0.25">
      <c r="A35"/>
      <c r="B35"/>
      <c r="C35"/>
      <c r="D35"/>
      <c r="E35"/>
      <c r="F35"/>
      <c r="G35" s="27"/>
      <c r="H35"/>
      <c r="I35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</row>
    <row r="36" spans="1:20" x14ac:dyDescent="0.25">
      <c r="A36" s="4"/>
      <c r="B36" s="4"/>
      <c r="C36" s="4"/>
      <c r="D36" s="4"/>
      <c r="E36" s="4"/>
      <c r="F36" s="4"/>
      <c r="G36" s="25"/>
      <c r="H36" s="4"/>
      <c r="I36" s="4"/>
    </row>
    <row r="37" spans="1:20" s="4" customFormat="1" x14ac:dyDescent="0.25">
      <c r="A37"/>
      <c r="B37"/>
      <c r="C37"/>
      <c r="D37"/>
      <c r="E37"/>
      <c r="F37"/>
      <c r="G37" s="27"/>
      <c r="H37"/>
      <c r="I37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</row>
    <row r="38" spans="1:20" x14ac:dyDescent="0.25">
      <c r="A38" s="4"/>
      <c r="B38" s="4"/>
      <c r="C38" s="4"/>
      <c r="D38" s="4"/>
      <c r="E38" s="4"/>
      <c r="F38" s="4"/>
      <c r="G38" s="25"/>
      <c r="H38" s="4"/>
      <c r="I38" s="4"/>
    </row>
    <row r="39" spans="1:20" s="4" customFormat="1" x14ac:dyDescent="0.25">
      <c r="A39"/>
      <c r="B39"/>
      <c r="C39"/>
      <c r="D39"/>
      <c r="E39"/>
      <c r="F39"/>
      <c r="G39" s="27"/>
      <c r="H39"/>
      <c r="I3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</row>
    <row r="40" spans="1:20" x14ac:dyDescent="0.25">
      <c r="A40" s="4"/>
      <c r="B40" s="4"/>
      <c r="C40" s="4"/>
      <c r="D40" s="4"/>
      <c r="E40" s="4"/>
      <c r="F40" s="4"/>
      <c r="G40" s="25"/>
      <c r="H40" s="4"/>
      <c r="I40" s="4"/>
    </row>
    <row r="41" spans="1:20" s="4" customFormat="1" x14ac:dyDescent="0.25">
      <c r="A41"/>
      <c r="B41"/>
      <c r="C41"/>
      <c r="D41"/>
      <c r="E41"/>
      <c r="F41"/>
      <c r="G41" s="27"/>
      <c r="H41"/>
      <c r="I41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</row>
    <row r="42" spans="1:20" x14ac:dyDescent="0.25">
      <c r="A42" s="4"/>
      <c r="B42" s="4"/>
      <c r="C42" s="4"/>
      <c r="D42" s="4"/>
      <c r="E42" s="4"/>
      <c r="F42" s="4"/>
      <c r="G42" s="25"/>
      <c r="H42" s="4"/>
      <c r="I42" s="4"/>
    </row>
    <row r="43" spans="1:20" s="4" customFormat="1" x14ac:dyDescent="0.25">
      <c r="A43"/>
      <c r="B43"/>
      <c r="C43"/>
      <c r="D43"/>
      <c r="E43"/>
      <c r="F43"/>
      <c r="G43" s="27"/>
      <c r="H43"/>
      <c r="I43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</row>
    <row r="44" spans="1:20" x14ac:dyDescent="0.25">
      <c r="A44" s="4"/>
      <c r="B44" s="4"/>
      <c r="C44" s="4"/>
      <c r="D44" s="4"/>
      <c r="E44" s="4"/>
      <c r="F44" s="4"/>
      <c r="G44" s="25"/>
      <c r="H44" s="4"/>
      <c r="I44" s="4"/>
    </row>
    <row r="45" spans="1:20" s="4" customFormat="1" x14ac:dyDescent="0.25">
      <c r="A45"/>
      <c r="B45"/>
      <c r="C45"/>
      <c r="D45"/>
      <c r="E45"/>
      <c r="F45"/>
      <c r="G45" s="27"/>
      <c r="H45"/>
      <c r="I45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</row>
    <row r="46" spans="1:20" x14ac:dyDescent="0.25">
      <c r="A46" s="4"/>
      <c r="B46" s="4"/>
      <c r="C46" s="4"/>
      <c r="D46" s="4"/>
      <c r="E46" s="4"/>
      <c r="F46" s="4"/>
      <c r="G46" s="25"/>
      <c r="H46" s="4"/>
      <c r="I46" s="4"/>
    </row>
    <row r="47" spans="1:20" s="4" customFormat="1" x14ac:dyDescent="0.25">
      <c r="A47"/>
      <c r="B47"/>
      <c r="C47"/>
      <c r="D47"/>
      <c r="E47"/>
      <c r="F47"/>
      <c r="G47" s="27"/>
      <c r="H47"/>
      <c r="I47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</row>
    <row r="48" spans="1:20" x14ac:dyDescent="0.25">
      <c r="A48" s="4"/>
      <c r="B48" s="4"/>
      <c r="C48" s="4"/>
      <c r="D48" s="4"/>
      <c r="E48" s="4"/>
      <c r="F48" s="4"/>
      <c r="G48" s="25"/>
      <c r="H48" s="4"/>
      <c r="I48" s="4"/>
    </row>
    <row r="49" spans="1:20" s="4" customFormat="1" x14ac:dyDescent="0.25">
      <c r="A49"/>
      <c r="B49"/>
      <c r="C49"/>
      <c r="D49"/>
      <c r="E49"/>
      <c r="F49"/>
      <c r="G49" s="27"/>
      <c r="H49"/>
      <c r="I4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</row>
    <row r="50" spans="1:20" x14ac:dyDescent="0.25">
      <c r="A50" s="4"/>
      <c r="B50" s="4"/>
      <c r="C50" s="4"/>
      <c r="D50" s="4"/>
      <c r="E50" s="4"/>
      <c r="F50" s="4"/>
      <c r="G50" s="25"/>
      <c r="H50" s="4"/>
      <c r="I50" s="4"/>
    </row>
    <row r="51" spans="1:20" s="4" customFormat="1" x14ac:dyDescent="0.25">
      <c r="A51"/>
      <c r="B51"/>
      <c r="C51"/>
      <c r="D51"/>
      <c r="E51"/>
      <c r="F51"/>
      <c r="G51" s="27"/>
      <c r="H51"/>
      <c r="I51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</row>
    <row r="52" spans="1:20" x14ac:dyDescent="0.25">
      <c r="A52" s="4"/>
      <c r="B52" s="4"/>
      <c r="C52" s="4"/>
      <c r="D52" s="4"/>
      <c r="E52" s="4"/>
      <c r="F52" s="4"/>
      <c r="G52" s="25"/>
      <c r="H52" s="4"/>
      <c r="I52" s="4"/>
    </row>
    <row r="53" spans="1:20" s="4" customFormat="1" x14ac:dyDescent="0.25">
      <c r="A53"/>
      <c r="B53"/>
      <c r="C53"/>
      <c r="D53"/>
      <c r="E53"/>
      <c r="F53"/>
      <c r="G53" s="27"/>
      <c r="H53"/>
      <c r="I53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</row>
    <row r="54" spans="1:20" x14ac:dyDescent="0.25">
      <c r="A54" s="4"/>
      <c r="B54" s="4"/>
      <c r="C54" s="4"/>
      <c r="D54" s="4"/>
      <c r="E54" s="4"/>
      <c r="F54" s="4"/>
      <c r="G54" s="25"/>
      <c r="H54" s="4"/>
      <c r="I54" s="4"/>
    </row>
    <row r="55" spans="1:20" s="4" customFormat="1" x14ac:dyDescent="0.25">
      <c r="A55"/>
      <c r="B55"/>
      <c r="C55"/>
      <c r="D55"/>
      <c r="E55"/>
      <c r="F55"/>
      <c r="G55" s="27"/>
      <c r="H55"/>
      <c r="I55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</row>
    <row r="56" spans="1:20" x14ac:dyDescent="0.25">
      <c r="A56" s="4"/>
      <c r="B56" s="4"/>
      <c r="C56" s="4"/>
      <c r="D56" s="4"/>
      <c r="E56" s="4"/>
      <c r="F56" s="4"/>
      <c r="G56" s="25"/>
      <c r="H56" s="4"/>
      <c r="I56" s="4"/>
    </row>
    <row r="57" spans="1:20" s="4" customFormat="1" x14ac:dyDescent="0.25">
      <c r="A57"/>
      <c r="B57"/>
      <c r="C57"/>
      <c r="D57"/>
      <c r="E57"/>
      <c r="F57"/>
      <c r="G57" s="27"/>
      <c r="H57"/>
      <c r="I57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</row>
    <row r="58" spans="1:20" x14ac:dyDescent="0.25">
      <c r="A58" s="4"/>
      <c r="B58" s="4"/>
      <c r="C58" s="4"/>
      <c r="D58" s="4"/>
      <c r="E58" s="4"/>
      <c r="F58" s="4"/>
      <c r="G58" s="25"/>
      <c r="H58" s="4"/>
      <c r="I58" s="4"/>
    </row>
    <row r="59" spans="1:20" s="4" customFormat="1" x14ac:dyDescent="0.25">
      <c r="A59"/>
      <c r="B59"/>
      <c r="C59"/>
      <c r="D59"/>
      <c r="E59"/>
      <c r="F59"/>
      <c r="G59" s="27"/>
      <c r="H59"/>
      <c r="I5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</row>
    <row r="60" spans="1:20" x14ac:dyDescent="0.25">
      <c r="A60" s="4"/>
      <c r="B60" s="4"/>
      <c r="C60" s="4"/>
      <c r="D60" s="4"/>
      <c r="E60" s="4"/>
      <c r="F60" s="4"/>
      <c r="G60" s="25"/>
      <c r="H60" s="4"/>
      <c r="I60" s="4"/>
    </row>
    <row r="61" spans="1:20" s="4" customFormat="1" x14ac:dyDescent="0.25">
      <c r="A61"/>
      <c r="B61"/>
      <c r="C61"/>
      <c r="D61"/>
      <c r="E61"/>
      <c r="F61"/>
      <c r="G61" s="27"/>
      <c r="H61"/>
      <c r="I61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</row>
    <row r="62" spans="1:20" x14ac:dyDescent="0.25">
      <c r="A62" s="4"/>
      <c r="B62" s="4"/>
      <c r="C62" s="4"/>
      <c r="D62" s="4"/>
      <c r="E62" s="4"/>
      <c r="F62" s="4"/>
      <c r="G62" s="25"/>
      <c r="H62" s="4"/>
      <c r="I62" s="4"/>
    </row>
    <row r="63" spans="1:20" s="4" customFormat="1" x14ac:dyDescent="0.25">
      <c r="A63"/>
      <c r="B63"/>
      <c r="C63"/>
      <c r="D63"/>
      <c r="E63"/>
      <c r="F63"/>
      <c r="G63" s="27"/>
      <c r="H63"/>
      <c r="I63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</row>
    <row r="64" spans="1:20" ht="13.5" customHeight="1" x14ac:dyDescent="0.25">
      <c r="A64" s="4"/>
      <c r="B64" s="4"/>
      <c r="C64" s="4"/>
      <c r="D64" s="4"/>
      <c r="E64" s="4"/>
      <c r="F64" s="4"/>
      <c r="G64" s="25"/>
      <c r="H64" s="4"/>
      <c r="I64" s="4"/>
    </row>
    <row r="65" spans="1:20" s="4" customFormat="1" x14ac:dyDescent="0.25">
      <c r="A65"/>
      <c r="B65"/>
      <c r="C65"/>
      <c r="D65"/>
      <c r="E65"/>
      <c r="F65"/>
      <c r="G65" s="27"/>
      <c r="H65"/>
      <c r="I65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</row>
    <row r="66" spans="1:20" x14ac:dyDescent="0.25">
      <c r="A66" s="4"/>
      <c r="B66" s="4"/>
      <c r="C66" s="4"/>
      <c r="D66" s="4"/>
      <c r="E66" s="4"/>
      <c r="F66" s="4"/>
      <c r="G66" s="25"/>
      <c r="H66" s="4"/>
      <c r="I66" s="4"/>
    </row>
    <row r="67" spans="1:20" s="4" customFormat="1" x14ac:dyDescent="0.25">
      <c r="A67"/>
      <c r="B67"/>
      <c r="C67"/>
      <c r="D67"/>
      <c r="E67"/>
      <c r="F67"/>
      <c r="G67" s="27"/>
      <c r="H67"/>
      <c r="I67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</row>
    <row r="68" spans="1:20" x14ac:dyDescent="0.25">
      <c r="A68" s="4"/>
      <c r="B68" s="4"/>
      <c r="C68" s="4"/>
      <c r="D68" s="4"/>
      <c r="E68" s="4"/>
      <c r="F68" s="4"/>
      <c r="G68" s="25"/>
      <c r="H68" s="4"/>
      <c r="I68" s="4"/>
    </row>
    <row r="69" spans="1:20" s="4" customFormat="1" x14ac:dyDescent="0.25">
      <c r="A69"/>
      <c r="B69"/>
      <c r="C69"/>
      <c r="D69"/>
      <c r="E69"/>
      <c r="F69"/>
      <c r="G69" s="27"/>
      <c r="H69"/>
      <c r="I6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</row>
    <row r="70" spans="1:20" x14ac:dyDescent="0.25">
      <c r="A70" s="4"/>
      <c r="B70" s="4"/>
      <c r="C70" s="4"/>
      <c r="D70" s="4"/>
      <c r="E70" s="4"/>
      <c r="F70" s="4"/>
      <c r="G70" s="25"/>
      <c r="H70" s="4"/>
      <c r="I70" s="4"/>
    </row>
    <row r="71" spans="1:20" s="4" customFormat="1" x14ac:dyDescent="0.25">
      <c r="A71"/>
      <c r="B71"/>
      <c r="C71"/>
      <c r="D71"/>
      <c r="E71"/>
      <c r="F71"/>
      <c r="G71" s="27"/>
      <c r="H71"/>
      <c r="I71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</row>
    <row r="72" spans="1:20" x14ac:dyDescent="0.25">
      <c r="A72" s="4"/>
      <c r="B72" s="4"/>
      <c r="C72" s="4"/>
      <c r="D72" s="4"/>
      <c r="E72" s="4"/>
      <c r="F72" s="4"/>
      <c r="G72" s="25"/>
      <c r="H72" s="4"/>
      <c r="I72" s="4"/>
    </row>
    <row r="73" spans="1:20" s="4" customFormat="1" x14ac:dyDescent="0.25">
      <c r="A73"/>
      <c r="B73"/>
      <c r="C73"/>
      <c r="D73"/>
      <c r="E73"/>
      <c r="F73"/>
      <c r="G73" s="27"/>
      <c r="H73"/>
      <c r="I73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</row>
    <row r="74" spans="1:20" x14ac:dyDescent="0.25">
      <c r="A74" s="4"/>
      <c r="B74" s="4"/>
      <c r="C74" s="4"/>
      <c r="D74" s="4"/>
      <c r="E74" s="4"/>
      <c r="F74" s="4"/>
      <c r="G74" s="25"/>
      <c r="H74" s="4"/>
      <c r="I74" s="4"/>
    </row>
    <row r="75" spans="1:20" s="4" customFormat="1" x14ac:dyDescent="0.25">
      <c r="A75"/>
      <c r="B75"/>
      <c r="C75"/>
      <c r="D75"/>
      <c r="E75"/>
      <c r="F75"/>
      <c r="G75" s="27"/>
      <c r="H75"/>
      <c r="I75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</row>
    <row r="76" spans="1:20" x14ac:dyDescent="0.25">
      <c r="A76" s="4"/>
      <c r="B76" s="4"/>
      <c r="C76" s="4"/>
      <c r="D76" s="4"/>
      <c r="E76" s="4"/>
      <c r="F76" s="4"/>
      <c r="G76" s="25"/>
      <c r="H76" s="4"/>
      <c r="I76" s="4"/>
    </row>
    <row r="77" spans="1:20" s="4" customFormat="1" x14ac:dyDescent="0.25">
      <c r="A77"/>
      <c r="B77"/>
      <c r="C77"/>
      <c r="D77"/>
      <c r="E77"/>
      <c r="F77"/>
      <c r="G77" s="27"/>
      <c r="H77"/>
      <c r="I77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</row>
    <row r="78" spans="1:20" x14ac:dyDescent="0.25">
      <c r="A78" s="4"/>
      <c r="B78" s="4"/>
      <c r="C78" s="4"/>
      <c r="D78" s="4"/>
      <c r="E78" s="4"/>
      <c r="F78" s="4"/>
      <c r="G78" s="25"/>
      <c r="H78" s="4"/>
      <c r="I78" s="4"/>
    </row>
    <row r="79" spans="1:20" s="4" customFormat="1" x14ac:dyDescent="0.25">
      <c r="A79"/>
      <c r="B79"/>
      <c r="C79"/>
      <c r="D79"/>
      <c r="E79"/>
      <c r="F79"/>
      <c r="G79" s="27"/>
      <c r="H79"/>
      <c r="I7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</row>
    <row r="80" spans="1:20" x14ac:dyDescent="0.25">
      <c r="A80" s="4"/>
      <c r="B80" s="4"/>
      <c r="C80" s="4"/>
      <c r="D80" s="4"/>
      <c r="E80" s="4"/>
      <c r="F80" s="4"/>
      <c r="G80" s="25"/>
      <c r="H80" s="4"/>
      <c r="I80" s="4"/>
    </row>
    <row r="81" spans="1:20" s="4" customFormat="1" x14ac:dyDescent="0.25">
      <c r="A81"/>
      <c r="B81"/>
      <c r="C81"/>
      <c r="D81"/>
      <c r="E81"/>
      <c r="F81"/>
      <c r="G81" s="27"/>
      <c r="H81"/>
      <c r="I81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</row>
    <row r="82" spans="1:20" x14ac:dyDescent="0.25">
      <c r="A82" s="4"/>
      <c r="B82" s="4"/>
      <c r="C82" s="4"/>
      <c r="D82" s="4"/>
      <c r="E82" s="4"/>
      <c r="F82" s="4"/>
      <c r="G82" s="25"/>
      <c r="H82" s="4"/>
      <c r="I82" s="4"/>
    </row>
    <row r="83" spans="1:20" s="4" customFormat="1" x14ac:dyDescent="0.25">
      <c r="A83"/>
      <c r="B83"/>
      <c r="C83"/>
      <c r="D83"/>
      <c r="E83"/>
      <c r="F83"/>
      <c r="G83" s="27"/>
      <c r="H83"/>
      <c r="I83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</row>
    <row r="84" spans="1:20" x14ac:dyDescent="0.25">
      <c r="A84" s="4"/>
      <c r="B84" s="4"/>
      <c r="C84" s="4"/>
      <c r="D84" s="4"/>
      <c r="E84" s="4"/>
      <c r="F84" s="4"/>
      <c r="G84" s="25"/>
      <c r="H84" s="4"/>
      <c r="I84" s="4"/>
    </row>
    <row r="85" spans="1:20" s="4" customFormat="1" x14ac:dyDescent="0.25">
      <c r="A85"/>
      <c r="B85"/>
      <c r="C85"/>
      <c r="D85"/>
      <c r="E85"/>
      <c r="F85"/>
      <c r="G85" s="27"/>
      <c r="H85"/>
      <c r="I85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</row>
    <row r="86" spans="1:20" x14ac:dyDescent="0.25">
      <c r="A86" s="4"/>
      <c r="B86" s="4"/>
      <c r="C86" s="4"/>
      <c r="D86" s="4"/>
      <c r="E86" s="4"/>
      <c r="F86" s="4"/>
      <c r="G86" s="25"/>
      <c r="H86" s="4"/>
      <c r="I86" s="4"/>
    </row>
    <row r="87" spans="1:20" s="4" customFormat="1" x14ac:dyDescent="0.25">
      <c r="A87"/>
      <c r="B87"/>
      <c r="C87"/>
      <c r="D87"/>
      <c r="E87"/>
      <c r="F87"/>
      <c r="G87" s="27"/>
      <c r="H87"/>
      <c r="I87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</row>
    <row r="88" spans="1:20" x14ac:dyDescent="0.25">
      <c r="A88" s="4"/>
      <c r="B88" s="4"/>
      <c r="C88" s="4"/>
      <c r="D88" s="4"/>
      <c r="E88" s="4"/>
      <c r="F88" s="4"/>
      <c r="G88" s="25"/>
      <c r="H88" s="4"/>
      <c r="I88" s="4"/>
    </row>
    <row r="89" spans="1:20" s="4" customFormat="1" x14ac:dyDescent="0.25">
      <c r="A89"/>
      <c r="B89"/>
      <c r="C89"/>
      <c r="D89"/>
      <c r="E89"/>
      <c r="F89"/>
      <c r="G89" s="27"/>
      <c r="H89"/>
      <c r="I8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</row>
    <row r="90" spans="1:20" x14ac:dyDescent="0.25">
      <c r="A90" s="4"/>
      <c r="B90" s="4"/>
      <c r="C90" s="4"/>
      <c r="D90" s="4"/>
      <c r="E90" s="4"/>
      <c r="F90" s="4"/>
      <c r="G90" s="25"/>
      <c r="H90" s="4"/>
      <c r="I90" s="4"/>
    </row>
    <row r="91" spans="1:20" s="4" customFormat="1" x14ac:dyDescent="0.25">
      <c r="A91"/>
      <c r="B91"/>
      <c r="C91"/>
      <c r="D91"/>
      <c r="E91"/>
      <c r="F91"/>
      <c r="G91" s="27"/>
      <c r="H91"/>
      <c r="I91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</row>
    <row r="92" spans="1:20" x14ac:dyDescent="0.25">
      <c r="A92" s="4"/>
      <c r="B92" s="4"/>
      <c r="C92" s="4"/>
      <c r="D92" s="4"/>
      <c r="E92" s="4"/>
      <c r="F92" s="4"/>
      <c r="G92" s="25"/>
      <c r="H92" s="4"/>
      <c r="I92" s="4"/>
    </row>
    <row r="93" spans="1:20" s="4" customFormat="1" x14ac:dyDescent="0.25">
      <c r="A93"/>
      <c r="B93"/>
      <c r="C93"/>
      <c r="D93"/>
      <c r="E93"/>
      <c r="F93"/>
      <c r="G93" s="27"/>
      <c r="H93"/>
      <c r="I93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</row>
    <row r="94" spans="1:20" x14ac:dyDescent="0.25">
      <c r="A94" s="4"/>
      <c r="B94" s="4"/>
      <c r="C94" s="4"/>
      <c r="D94" s="4"/>
      <c r="E94" s="4"/>
      <c r="F94" s="4"/>
      <c r="G94" s="25"/>
      <c r="H94" s="4"/>
      <c r="I94" s="4"/>
    </row>
    <row r="95" spans="1:20" s="4" customFormat="1" x14ac:dyDescent="0.25">
      <c r="A95"/>
      <c r="B95"/>
      <c r="C95"/>
      <c r="D95"/>
      <c r="E95"/>
      <c r="F95"/>
      <c r="G95" s="27"/>
      <c r="H95"/>
      <c r="I95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</row>
    <row r="96" spans="1:20" x14ac:dyDescent="0.25">
      <c r="A96" s="4"/>
      <c r="B96" s="4"/>
      <c r="C96" s="4"/>
      <c r="D96" s="4"/>
      <c r="E96" s="4"/>
      <c r="F96" s="4"/>
      <c r="G96" s="25"/>
      <c r="H96" s="4"/>
      <c r="I96" s="4"/>
    </row>
    <row r="97" spans="1:20" s="4" customFormat="1" x14ac:dyDescent="0.25">
      <c r="A97"/>
      <c r="B97"/>
      <c r="C97"/>
      <c r="D97"/>
      <c r="E97"/>
      <c r="F97"/>
      <c r="G97" s="27"/>
      <c r="H97"/>
      <c r="I97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</row>
    <row r="98" spans="1:20" x14ac:dyDescent="0.25">
      <c r="A98" s="4"/>
      <c r="B98" s="4"/>
      <c r="C98" s="4"/>
      <c r="D98" s="4"/>
      <c r="E98" s="4"/>
      <c r="F98" s="4"/>
      <c r="G98" s="25"/>
      <c r="H98" s="4"/>
      <c r="I98" s="4"/>
    </row>
    <row r="99" spans="1:20" s="4" customFormat="1" x14ac:dyDescent="0.25">
      <c r="A99"/>
      <c r="B99"/>
      <c r="C99"/>
      <c r="D99"/>
      <c r="E99"/>
      <c r="F99"/>
      <c r="G99" s="27"/>
      <c r="H99"/>
      <c r="I9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</row>
    <row r="100" spans="1:20" x14ac:dyDescent="0.25">
      <c r="A100" s="4"/>
      <c r="B100" s="4"/>
      <c r="C100" s="4"/>
      <c r="D100" s="4"/>
      <c r="E100" s="4"/>
      <c r="F100" s="4"/>
      <c r="G100" s="25"/>
      <c r="H100" s="4"/>
      <c r="I100" s="4"/>
    </row>
    <row r="101" spans="1:20" s="4" customFormat="1" x14ac:dyDescent="0.25">
      <c r="A101"/>
      <c r="B101"/>
      <c r="C101"/>
      <c r="D101"/>
      <c r="E101"/>
      <c r="F101"/>
      <c r="G101" s="27"/>
      <c r="H101"/>
      <c r="I101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</row>
    <row r="102" spans="1:20" x14ac:dyDescent="0.25">
      <c r="A102" s="4"/>
      <c r="B102" s="4"/>
      <c r="C102" s="4"/>
      <c r="D102" s="4"/>
      <c r="E102" s="4"/>
      <c r="F102" s="4"/>
      <c r="G102" s="25"/>
      <c r="H102" s="4"/>
      <c r="I102" s="4"/>
    </row>
    <row r="103" spans="1:20" s="4" customFormat="1" x14ac:dyDescent="0.25">
      <c r="A103"/>
      <c r="B103"/>
      <c r="C103"/>
      <c r="D103"/>
      <c r="E103"/>
      <c r="F103"/>
      <c r="G103" s="27"/>
      <c r="H103"/>
      <c r="I103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</row>
    <row r="104" spans="1:20" ht="14.25" customHeight="1" x14ac:dyDescent="0.25">
      <c r="A104" s="4"/>
      <c r="B104" s="4"/>
      <c r="C104" s="4"/>
      <c r="D104" s="4"/>
      <c r="E104" s="4"/>
      <c r="F104" s="4"/>
      <c r="G104" s="25"/>
      <c r="H104" s="4"/>
      <c r="I104" s="4"/>
    </row>
    <row r="105" spans="1:20" s="4" customFormat="1" x14ac:dyDescent="0.25">
      <c r="A105"/>
      <c r="B105"/>
      <c r="C105"/>
      <c r="D105"/>
      <c r="E105"/>
      <c r="F105"/>
      <c r="G105" s="27"/>
      <c r="H105"/>
      <c r="I105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</row>
    <row r="106" spans="1:20" x14ac:dyDescent="0.25">
      <c r="A106" s="4"/>
      <c r="B106" s="4"/>
      <c r="C106" s="4"/>
      <c r="D106" s="4"/>
      <c r="E106" s="4"/>
      <c r="F106" s="4"/>
      <c r="G106" s="25"/>
      <c r="H106" s="4"/>
      <c r="I106" s="4"/>
    </row>
    <row r="107" spans="1:20" s="4" customFormat="1" x14ac:dyDescent="0.25">
      <c r="A107"/>
      <c r="B107"/>
      <c r="C107"/>
      <c r="D107"/>
      <c r="E107"/>
      <c r="F107"/>
      <c r="G107" s="27"/>
      <c r="H107"/>
      <c r="I107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</row>
    <row r="108" spans="1:20" x14ac:dyDescent="0.25">
      <c r="A108" s="4"/>
      <c r="B108" s="4"/>
      <c r="C108" s="4"/>
      <c r="D108" s="4"/>
      <c r="E108" s="4"/>
      <c r="F108" s="4"/>
      <c r="G108" s="25"/>
      <c r="H108" s="4"/>
      <c r="I108" s="4"/>
    </row>
    <row r="109" spans="1:20" s="4" customFormat="1" x14ac:dyDescent="0.25">
      <c r="A109"/>
      <c r="B109"/>
      <c r="C109"/>
      <c r="D109"/>
      <c r="E109"/>
      <c r="F109"/>
      <c r="G109" s="27"/>
      <c r="H109"/>
      <c r="I10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</row>
    <row r="110" spans="1:20" x14ac:dyDescent="0.25">
      <c r="A110" s="4"/>
      <c r="B110" s="4"/>
      <c r="C110" s="4"/>
      <c r="D110" s="4"/>
      <c r="E110" s="4"/>
      <c r="F110" s="4"/>
      <c r="G110" s="25"/>
      <c r="H110" s="4"/>
      <c r="I110" s="4"/>
    </row>
    <row r="111" spans="1:20" s="4" customFormat="1" x14ac:dyDescent="0.25">
      <c r="A111"/>
      <c r="B111"/>
      <c r="C111"/>
      <c r="D111"/>
      <c r="E111"/>
      <c r="F111"/>
      <c r="G111" s="27"/>
      <c r="H111"/>
      <c r="I111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</row>
    <row r="112" spans="1:20" x14ac:dyDescent="0.25">
      <c r="A112" s="4"/>
      <c r="B112" s="4"/>
      <c r="C112" s="4"/>
      <c r="D112" s="4"/>
      <c r="E112" s="4"/>
      <c r="F112" s="4"/>
      <c r="G112" s="25"/>
      <c r="H112" s="4"/>
      <c r="I112" s="4"/>
    </row>
    <row r="113" spans="1:20" s="4" customFormat="1" x14ac:dyDescent="0.25">
      <c r="A113"/>
      <c r="B113"/>
      <c r="C113"/>
      <c r="D113"/>
      <c r="E113"/>
      <c r="F113"/>
      <c r="G113" s="27"/>
      <c r="H113"/>
      <c r="I113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</row>
    <row r="114" spans="1:20" x14ac:dyDescent="0.25">
      <c r="A114" s="4"/>
      <c r="B114" s="4"/>
      <c r="C114" s="4"/>
      <c r="D114" s="4"/>
      <c r="E114" s="4"/>
      <c r="F114" s="4"/>
      <c r="G114" s="25"/>
      <c r="H114" s="4"/>
      <c r="I114" s="4"/>
    </row>
    <row r="115" spans="1:20" s="4" customFormat="1" x14ac:dyDescent="0.25">
      <c r="A115"/>
      <c r="B115"/>
      <c r="C115"/>
      <c r="D115"/>
      <c r="E115"/>
      <c r="F115"/>
      <c r="G115" s="27"/>
      <c r="H115"/>
      <c r="I115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</row>
    <row r="116" spans="1:20" x14ac:dyDescent="0.25">
      <c r="A116" s="4"/>
      <c r="B116" s="4"/>
      <c r="C116" s="4"/>
      <c r="D116" s="4"/>
      <c r="E116" s="4"/>
      <c r="F116" s="4"/>
      <c r="G116" s="25"/>
      <c r="H116" s="4"/>
      <c r="I116" s="4"/>
    </row>
    <row r="117" spans="1:20" s="4" customFormat="1" x14ac:dyDescent="0.25">
      <c r="A117"/>
      <c r="B117"/>
      <c r="C117"/>
      <c r="D117"/>
      <c r="E117"/>
      <c r="F117"/>
      <c r="G117" s="27"/>
      <c r="H117"/>
      <c r="I117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</row>
    <row r="118" spans="1:20" x14ac:dyDescent="0.25">
      <c r="A118" s="4"/>
      <c r="B118" s="4"/>
      <c r="C118" s="4"/>
      <c r="D118" s="4"/>
      <c r="E118" s="4"/>
      <c r="F118" s="4"/>
      <c r="G118" s="25"/>
      <c r="H118" s="4"/>
      <c r="I118" s="4"/>
    </row>
    <row r="119" spans="1:20" s="4" customFormat="1" x14ac:dyDescent="0.25">
      <c r="A119"/>
      <c r="B119"/>
      <c r="C119"/>
      <c r="D119"/>
      <c r="E119"/>
      <c r="F119"/>
      <c r="G119" s="27"/>
      <c r="H119"/>
      <c r="I11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</row>
    <row r="120" spans="1:20" x14ac:dyDescent="0.25">
      <c r="A120" s="4"/>
      <c r="B120" s="4"/>
      <c r="C120" s="4"/>
      <c r="D120" s="4"/>
      <c r="E120" s="4"/>
      <c r="F120" s="4"/>
      <c r="G120" s="25"/>
      <c r="H120" s="4"/>
      <c r="I120" s="4"/>
    </row>
    <row r="121" spans="1:20" s="4" customFormat="1" x14ac:dyDescent="0.25">
      <c r="A121"/>
      <c r="B121"/>
      <c r="C121"/>
      <c r="D121"/>
      <c r="E121"/>
      <c r="F121"/>
      <c r="G121" s="27"/>
      <c r="H121"/>
      <c r="I121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</row>
    <row r="122" spans="1:20" x14ac:dyDescent="0.25">
      <c r="A122" s="4"/>
      <c r="B122" s="4"/>
      <c r="C122" s="4"/>
      <c r="D122" s="4"/>
      <c r="E122" s="4"/>
      <c r="F122" s="4"/>
      <c r="G122" s="25"/>
      <c r="H122" s="4"/>
      <c r="I122" s="4"/>
    </row>
    <row r="123" spans="1:20" s="4" customFormat="1" x14ac:dyDescent="0.25">
      <c r="A123"/>
      <c r="B123"/>
      <c r="C123"/>
      <c r="D123"/>
      <c r="E123"/>
      <c r="F123"/>
      <c r="G123" s="27"/>
      <c r="H123"/>
      <c r="I123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</row>
    <row r="124" spans="1:20" x14ac:dyDescent="0.25">
      <c r="A124" s="4"/>
      <c r="B124" s="4"/>
      <c r="C124" s="4"/>
      <c r="D124" s="4"/>
      <c r="E124" s="4"/>
      <c r="F124" s="4"/>
      <c r="G124" s="25"/>
      <c r="H124" s="4"/>
      <c r="I124" s="4"/>
    </row>
    <row r="125" spans="1:20" s="4" customFormat="1" x14ac:dyDescent="0.25">
      <c r="A125"/>
      <c r="B125"/>
      <c r="C125"/>
      <c r="D125"/>
      <c r="E125"/>
      <c r="F125"/>
      <c r="G125" s="27"/>
      <c r="H125"/>
      <c r="I125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</row>
    <row r="126" spans="1:20" x14ac:dyDescent="0.25">
      <c r="A126" s="4"/>
      <c r="B126" s="4"/>
      <c r="C126" s="4"/>
      <c r="D126" s="4"/>
      <c r="E126" s="4"/>
      <c r="F126" s="4"/>
      <c r="G126" s="25"/>
      <c r="H126" s="4"/>
      <c r="I126" s="4"/>
    </row>
    <row r="127" spans="1:20" s="4" customFormat="1" x14ac:dyDescent="0.25">
      <c r="A127"/>
      <c r="B127"/>
      <c r="C127"/>
      <c r="D127"/>
      <c r="E127"/>
      <c r="F127"/>
      <c r="G127" s="27"/>
      <c r="H127"/>
      <c r="I127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</row>
    <row r="128" spans="1:20" x14ac:dyDescent="0.25">
      <c r="A128" s="4"/>
      <c r="B128" s="4"/>
      <c r="C128" s="4"/>
      <c r="D128" s="4"/>
      <c r="E128" s="4"/>
      <c r="F128" s="4"/>
      <c r="G128" s="25"/>
      <c r="H128" s="4"/>
      <c r="I128" s="4"/>
    </row>
    <row r="129" spans="1:20" s="4" customFormat="1" x14ac:dyDescent="0.25">
      <c r="A129"/>
      <c r="B129"/>
      <c r="C129"/>
      <c r="D129"/>
      <c r="E129"/>
      <c r="F129"/>
      <c r="G129" s="27"/>
      <c r="H129"/>
      <c r="I12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</row>
    <row r="130" spans="1:20" x14ac:dyDescent="0.25">
      <c r="A130" s="4"/>
      <c r="B130" s="4"/>
      <c r="C130" s="4"/>
      <c r="D130" s="4"/>
      <c r="E130" s="4"/>
      <c r="F130" s="4"/>
      <c r="G130" s="25"/>
      <c r="H130" s="4"/>
      <c r="I130" s="4"/>
    </row>
    <row r="131" spans="1:20" s="4" customFormat="1" x14ac:dyDescent="0.25">
      <c r="A131"/>
      <c r="B131"/>
      <c r="C131"/>
      <c r="D131"/>
      <c r="E131"/>
      <c r="F131"/>
      <c r="G131" s="27"/>
      <c r="H131"/>
      <c r="I131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</row>
    <row r="132" spans="1:20" x14ac:dyDescent="0.25">
      <c r="A132" s="4"/>
      <c r="B132" s="4"/>
      <c r="C132" s="4"/>
      <c r="D132" s="4"/>
      <c r="E132" s="4"/>
      <c r="F132" s="4"/>
      <c r="G132" s="25"/>
      <c r="H132" s="4"/>
      <c r="I132" s="4"/>
    </row>
    <row r="133" spans="1:20" s="4" customFormat="1" x14ac:dyDescent="0.25">
      <c r="A133"/>
      <c r="B133"/>
      <c r="C133"/>
      <c r="D133"/>
      <c r="E133"/>
      <c r="F133"/>
      <c r="G133" s="27"/>
      <c r="H133"/>
      <c r="I133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</row>
    <row r="134" spans="1:20" x14ac:dyDescent="0.25">
      <c r="A134" s="4"/>
      <c r="B134" s="4"/>
      <c r="C134" s="4"/>
      <c r="D134" s="4"/>
      <c r="E134" s="4"/>
      <c r="F134" s="4"/>
      <c r="G134" s="25"/>
      <c r="H134" s="4"/>
      <c r="I134" s="4"/>
    </row>
    <row r="135" spans="1:20" s="4" customFormat="1" x14ac:dyDescent="0.25">
      <c r="A135"/>
      <c r="B135"/>
      <c r="C135"/>
      <c r="D135"/>
      <c r="E135"/>
      <c r="F135"/>
      <c r="G135" s="27"/>
      <c r="H135"/>
      <c r="I135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</row>
    <row r="136" spans="1:20" x14ac:dyDescent="0.25">
      <c r="A136" s="4"/>
      <c r="B136" s="4"/>
      <c r="C136" s="4"/>
      <c r="D136" s="4"/>
      <c r="E136" s="4"/>
      <c r="F136" s="4"/>
      <c r="G136" s="25"/>
      <c r="H136" s="4"/>
      <c r="I136" s="4"/>
    </row>
    <row r="137" spans="1:20" s="4" customFormat="1" x14ac:dyDescent="0.25">
      <c r="A137"/>
      <c r="B137"/>
      <c r="C137"/>
      <c r="D137"/>
      <c r="E137"/>
      <c r="F137"/>
      <c r="G137" s="27"/>
      <c r="H137"/>
      <c r="I137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</row>
    <row r="138" spans="1:20" x14ac:dyDescent="0.25">
      <c r="A138" s="4"/>
      <c r="B138" s="4"/>
      <c r="C138" s="4"/>
      <c r="D138" s="4"/>
      <c r="E138" s="4"/>
      <c r="F138" s="4"/>
      <c r="G138" s="25"/>
      <c r="H138" s="4"/>
      <c r="I138" s="4"/>
    </row>
    <row r="139" spans="1:20" s="4" customFormat="1" x14ac:dyDescent="0.25">
      <c r="A139"/>
      <c r="B139"/>
      <c r="C139"/>
      <c r="D139"/>
      <c r="E139"/>
      <c r="F139"/>
      <c r="G139" s="27"/>
      <c r="H139"/>
      <c r="I13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</row>
    <row r="140" spans="1:20" x14ac:dyDescent="0.25">
      <c r="A140" s="4"/>
      <c r="B140" s="4"/>
      <c r="C140" s="4"/>
      <c r="D140" s="4"/>
      <c r="E140" s="4"/>
      <c r="F140" s="4"/>
      <c r="G140" s="25"/>
      <c r="H140" s="4"/>
      <c r="I140" s="4"/>
    </row>
    <row r="141" spans="1:20" s="4" customFormat="1" x14ac:dyDescent="0.25">
      <c r="A141"/>
      <c r="B141"/>
      <c r="C141"/>
      <c r="D141"/>
      <c r="E141"/>
      <c r="F141"/>
      <c r="G141" s="27"/>
      <c r="H141"/>
      <c r="I141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</row>
    <row r="142" spans="1:20" x14ac:dyDescent="0.25">
      <c r="A142" s="4"/>
      <c r="B142" s="4"/>
      <c r="C142" s="4"/>
      <c r="D142" s="4"/>
      <c r="E142" s="4"/>
      <c r="F142" s="4"/>
      <c r="G142" s="25"/>
      <c r="H142" s="4"/>
      <c r="I142" s="4"/>
    </row>
    <row r="143" spans="1:20" s="4" customFormat="1" x14ac:dyDescent="0.25">
      <c r="A143"/>
      <c r="B143"/>
      <c r="C143"/>
      <c r="D143"/>
      <c r="E143"/>
      <c r="F143"/>
      <c r="G143" s="27"/>
      <c r="H143"/>
      <c r="I143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</row>
    <row r="144" spans="1:20" x14ac:dyDescent="0.25">
      <c r="A144" s="4"/>
      <c r="B144" s="4"/>
      <c r="C144" s="4"/>
      <c r="D144" s="4"/>
      <c r="E144" s="4"/>
      <c r="F144" s="4"/>
      <c r="G144" s="25"/>
      <c r="H144" s="4"/>
      <c r="I144" s="4"/>
    </row>
    <row r="145" spans="1:20" s="4" customFormat="1" x14ac:dyDescent="0.25">
      <c r="A145"/>
      <c r="B145"/>
      <c r="C145"/>
      <c r="D145"/>
      <c r="E145"/>
      <c r="F145"/>
      <c r="G145" s="27"/>
      <c r="H145"/>
      <c r="I145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</row>
    <row r="146" spans="1:20" x14ac:dyDescent="0.25">
      <c r="A146" s="4"/>
      <c r="B146" s="4"/>
      <c r="C146" s="4"/>
      <c r="D146" s="4"/>
      <c r="E146" s="4"/>
      <c r="F146" s="4"/>
      <c r="G146" s="25"/>
      <c r="H146" s="4"/>
      <c r="I146" s="4"/>
    </row>
    <row r="147" spans="1:20" s="4" customFormat="1" x14ac:dyDescent="0.25">
      <c r="A147"/>
      <c r="B147"/>
      <c r="C147"/>
      <c r="D147"/>
      <c r="E147"/>
      <c r="F147"/>
      <c r="G147" s="27"/>
      <c r="H147"/>
      <c r="I147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</row>
    <row r="148" spans="1:20" x14ac:dyDescent="0.25">
      <c r="A148" s="4"/>
      <c r="B148" s="4"/>
      <c r="C148" s="4"/>
      <c r="D148" s="4"/>
      <c r="E148" s="4"/>
      <c r="F148" s="4"/>
      <c r="G148" s="25"/>
      <c r="H148" s="4"/>
      <c r="I148" s="4"/>
    </row>
    <row r="149" spans="1:20" s="4" customFormat="1" x14ac:dyDescent="0.25">
      <c r="A149"/>
      <c r="B149"/>
      <c r="C149"/>
      <c r="D149"/>
      <c r="E149"/>
      <c r="F149"/>
      <c r="G149" s="27"/>
      <c r="H149"/>
      <c r="I14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</row>
    <row r="150" spans="1:20" x14ac:dyDescent="0.25">
      <c r="A150" s="4"/>
      <c r="B150" s="4"/>
      <c r="C150" s="4"/>
      <c r="D150" s="4"/>
      <c r="E150" s="4"/>
      <c r="F150" s="4"/>
      <c r="G150" s="25"/>
      <c r="H150" s="4"/>
      <c r="I150" s="4"/>
    </row>
    <row r="151" spans="1:20" s="4" customFormat="1" x14ac:dyDescent="0.25">
      <c r="A151"/>
      <c r="B151"/>
      <c r="C151"/>
      <c r="D151"/>
      <c r="E151"/>
      <c r="F151"/>
      <c r="G151" s="27"/>
      <c r="H151"/>
      <c r="I151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</row>
    <row r="152" spans="1:20" x14ac:dyDescent="0.25">
      <c r="A152" s="4"/>
      <c r="B152" s="4"/>
      <c r="C152" s="4"/>
      <c r="D152" s="4"/>
      <c r="E152" s="4"/>
      <c r="F152" s="4"/>
      <c r="G152" s="25"/>
      <c r="H152" s="4"/>
      <c r="I152" s="4"/>
    </row>
    <row r="153" spans="1:20" s="4" customFormat="1" x14ac:dyDescent="0.25">
      <c r="A153"/>
      <c r="B153"/>
      <c r="C153"/>
      <c r="D153"/>
      <c r="E153"/>
      <c r="F153"/>
      <c r="G153" s="27"/>
      <c r="H153"/>
      <c r="I153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</row>
    <row r="154" spans="1:20" x14ac:dyDescent="0.25">
      <c r="A154" s="4"/>
      <c r="B154" s="4"/>
      <c r="C154" s="4"/>
      <c r="D154" s="4"/>
      <c r="E154" s="4"/>
      <c r="F154" s="4"/>
      <c r="G154" s="25"/>
      <c r="H154" s="4"/>
      <c r="I154" s="4"/>
    </row>
    <row r="155" spans="1:20" s="4" customFormat="1" x14ac:dyDescent="0.25">
      <c r="A155"/>
      <c r="B155"/>
      <c r="C155"/>
      <c r="D155"/>
      <c r="E155"/>
      <c r="F155"/>
      <c r="G155" s="27"/>
      <c r="H155"/>
      <c r="I155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</row>
    <row r="156" spans="1:20" x14ac:dyDescent="0.25">
      <c r="A156" s="4"/>
      <c r="B156" s="4"/>
      <c r="C156" s="4"/>
      <c r="D156" s="4"/>
      <c r="E156" s="4"/>
      <c r="F156" s="4"/>
      <c r="G156" s="25"/>
      <c r="H156" s="4"/>
      <c r="I156" s="4"/>
    </row>
    <row r="157" spans="1:20" s="4" customFormat="1" x14ac:dyDescent="0.25">
      <c r="A157"/>
      <c r="B157"/>
      <c r="C157"/>
      <c r="D157"/>
      <c r="E157"/>
      <c r="F157"/>
      <c r="G157" s="27"/>
      <c r="H157"/>
      <c r="I157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</row>
    <row r="158" spans="1:20" x14ac:dyDescent="0.25">
      <c r="A158" s="4"/>
      <c r="B158" s="4"/>
      <c r="C158" s="4"/>
      <c r="D158" s="4"/>
      <c r="E158" s="4"/>
      <c r="F158" s="4"/>
      <c r="G158" s="25"/>
      <c r="H158" s="4"/>
      <c r="I158" s="4"/>
    </row>
    <row r="159" spans="1:20" s="4" customFormat="1" x14ac:dyDescent="0.25">
      <c r="A159"/>
      <c r="B159"/>
      <c r="C159"/>
      <c r="D159"/>
      <c r="E159"/>
      <c r="F159"/>
      <c r="G159" s="27"/>
      <c r="H159"/>
      <c r="I15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</row>
    <row r="160" spans="1:20" x14ac:dyDescent="0.25">
      <c r="A160" s="4"/>
      <c r="B160" s="4"/>
      <c r="C160" s="4"/>
      <c r="D160" s="4"/>
      <c r="E160" s="4"/>
      <c r="F160" s="4"/>
      <c r="G160" s="25"/>
      <c r="H160" s="4"/>
      <c r="I160" s="4"/>
    </row>
    <row r="161" spans="1:20" s="4" customFormat="1" x14ac:dyDescent="0.25">
      <c r="A161"/>
      <c r="B161"/>
      <c r="C161"/>
      <c r="D161"/>
      <c r="E161"/>
      <c r="F161"/>
      <c r="G161" s="27"/>
      <c r="H161"/>
      <c r="I161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</row>
    <row r="162" spans="1:20" x14ac:dyDescent="0.25">
      <c r="A162" s="4"/>
      <c r="B162" s="4"/>
      <c r="C162" s="4"/>
      <c r="D162" s="4"/>
      <c r="E162" s="4"/>
      <c r="F162" s="4"/>
      <c r="G162" s="25"/>
      <c r="H162" s="4"/>
      <c r="I162" s="4"/>
    </row>
    <row r="163" spans="1:20" s="4" customFormat="1" x14ac:dyDescent="0.25">
      <c r="A163"/>
      <c r="B163"/>
      <c r="C163"/>
      <c r="D163"/>
      <c r="E163"/>
      <c r="F163"/>
      <c r="G163" s="27"/>
      <c r="H163"/>
      <c r="I163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</row>
    <row r="164" spans="1:20" x14ac:dyDescent="0.25">
      <c r="A164" s="4"/>
      <c r="B164" s="4"/>
      <c r="C164" s="4"/>
      <c r="D164" s="4"/>
      <c r="E164" s="4"/>
      <c r="F164" s="4"/>
      <c r="G164" s="25"/>
      <c r="H164" s="4"/>
      <c r="I164" s="4"/>
    </row>
    <row r="165" spans="1:20" s="4" customFormat="1" x14ac:dyDescent="0.25">
      <c r="A165"/>
      <c r="B165"/>
      <c r="C165"/>
      <c r="D165"/>
      <c r="E165"/>
      <c r="F165"/>
      <c r="G165" s="27"/>
      <c r="H165"/>
      <c r="I165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</row>
    <row r="166" spans="1:20" x14ac:dyDescent="0.25">
      <c r="A166" s="4"/>
      <c r="B166" s="4"/>
      <c r="C166" s="4"/>
      <c r="D166" s="4"/>
      <c r="E166" s="4"/>
      <c r="F166" s="4"/>
      <c r="G166" s="25"/>
      <c r="H166" s="4"/>
      <c r="I166" s="4"/>
    </row>
    <row r="167" spans="1:20" s="4" customFormat="1" x14ac:dyDescent="0.25">
      <c r="A167"/>
      <c r="B167"/>
      <c r="C167"/>
      <c r="D167"/>
      <c r="E167"/>
      <c r="F167"/>
      <c r="G167" s="27"/>
      <c r="H167"/>
      <c r="I167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</row>
    <row r="168" spans="1:20" x14ac:dyDescent="0.25">
      <c r="A168" s="4"/>
      <c r="B168" s="4"/>
      <c r="C168" s="4"/>
      <c r="D168" s="4"/>
      <c r="E168" s="4"/>
      <c r="F168" s="4"/>
      <c r="G168" s="25"/>
      <c r="H168" s="4"/>
      <c r="I168" s="4"/>
    </row>
    <row r="169" spans="1:20" s="4" customFormat="1" x14ac:dyDescent="0.25">
      <c r="A169"/>
      <c r="B169"/>
      <c r="C169"/>
      <c r="D169"/>
      <c r="E169"/>
      <c r="F169"/>
      <c r="G169" s="27"/>
      <c r="H169"/>
      <c r="I16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</row>
    <row r="170" spans="1:20" x14ac:dyDescent="0.25">
      <c r="A170" s="4"/>
      <c r="B170" s="4"/>
      <c r="C170" s="4"/>
      <c r="D170" s="4"/>
      <c r="E170" s="4"/>
      <c r="F170" s="4"/>
      <c r="G170" s="25"/>
      <c r="H170" s="4"/>
      <c r="I170" s="4"/>
    </row>
    <row r="171" spans="1:20" s="4" customFormat="1" x14ac:dyDescent="0.25">
      <c r="A171"/>
      <c r="B171"/>
      <c r="C171"/>
      <c r="D171"/>
      <c r="E171"/>
      <c r="F171"/>
      <c r="G171" s="27"/>
      <c r="H171"/>
      <c r="I171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</row>
    <row r="172" spans="1:20" x14ac:dyDescent="0.25">
      <c r="A172" s="4"/>
      <c r="B172" s="4"/>
      <c r="C172" s="4"/>
      <c r="D172" s="4"/>
      <c r="E172" s="4"/>
      <c r="F172" s="4"/>
      <c r="G172" s="25"/>
      <c r="H172" s="4"/>
      <c r="I172" s="4"/>
    </row>
    <row r="173" spans="1:20" s="4" customFormat="1" x14ac:dyDescent="0.25">
      <c r="A173"/>
      <c r="B173"/>
      <c r="C173"/>
      <c r="D173"/>
      <c r="E173"/>
      <c r="F173"/>
      <c r="G173" s="27"/>
      <c r="H173"/>
      <c r="I173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</row>
    <row r="174" spans="1:20" x14ac:dyDescent="0.25">
      <c r="A174" s="4"/>
      <c r="B174" s="4"/>
      <c r="C174" s="4"/>
      <c r="D174" s="4"/>
      <c r="E174" s="4"/>
      <c r="F174" s="4"/>
      <c r="G174" s="25"/>
      <c r="H174" s="4"/>
      <c r="I174" s="4"/>
    </row>
    <row r="175" spans="1:20" s="4" customFormat="1" x14ac:dyDescent="0.25">
      <c r="A175"/>
      <c r="B175"/>
      <c r="C175"/>
      <c r="D175"/>
      <c r="E175"/>
      <c r="F175"/>
      <c r="G175" s="27"/>
      <c r="H175"/>
      <c r="I175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</row>
    <row r="176" spans="1:20" x14ac:dyDescent="0.25">
      <c r="A176" s="4"/>
      <c r="B176" s="4"/>
      <c r="C176" s="4"/>
      <c r="D176" s="4"/>
      <c r="E176" s="4"/>
      <c r="F176" s="4"/>
      <c r="G176" s="25"/>
      <c r="H176" s="4"/>
      <c r="I176" s="4"/>
    </row>
    <row r="177" spans="1:20" s="4" customFormat="1" x14ac:dyDescent="0.25">
      <c r="A177"/>
      <c r="B177"/>
      <c r="C177"/>
      <c r="D177"/>
      <c r="E177"/>
      <c r="F177"/>
      <c r="G177" s="27"/>
      <c r="H177"/>
      <c r="I177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</row>
    <row r="178" spans="1:20" x14ac:dyDescent="0.25">
      <c r="A178" s="4"/>
      <c r="B178" s="4"/>
      <c r="C178" s="4"/>
      <c r="D178" s="4"/>
      <c r="E178" s="4"/>
      <c r="F178" s="4"/>
      <c r="G178" s="25"/>
      <c r="H178" s="4"/>
      <c r="I178" s="4"/>
    </row>
    <row r="179" spans="1:20" s="4" customFormat="1" x14ac:dyDescent="0.25">
      <c r="A179"/>
      <c r="B179"/>
      <c r="C179"/>
      <c r="D179"/>
      <c r="E179"/>
      <c r="F179"/>
      <c r="G179" s="27"/>
      <c r="H179"/>
      <c r="I17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</row>
    <row r="180" spans="1:20" x14ac:dyDescent="0.25">
      <c r="A180" s="4"/>
      <c r="B180" s="4"/>
      <c r="C180" s="4"/>
      <c r="D180" s="4"/>
      <c r="E180" s="4"/>
      <c r="F180" s="4"/>
      <c r="G180" s="25"/>
      <c r="H180" s="4"/>
      <c r="I180" s="4"/>
    </row>
    <row r="181" spans="1:20" s="4" customFormat="1" x14ac:dyDescent="0.25">
      <c r="A181"/>
      <c r="B181"/>
      <c r="C181"/>
      <c r="D181"/>
      <c r="E181"/>
      <c r="F181"/>
      <c r="G181" s="27"/>
      <c r="H181"/>
      <c r="I181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</row>
    <row r="182" spans="1:20" x14ac:dyDescent="0.25">
      <c r="A182" s="4"/>
      <c r="B182" s="4"/>
      <c r="C182" s="4"/>
      <c r="D182" s="4"/>
      <c r="E182" s="4"/>
      <c r="F182" s="4"/>
      <c r="G182" s="25"/>
      <c r="H182" s="4"/>
      <c r="I182" s="4"/>
    </row>
    <row r="183" spans="1:20" s="4" customFormat="1" x14ac:dyDescent="0.25">
      <c r="A183"/>
      <c r="B183"/>
      <c r="C183"/>
      <c r="D183"/>
      <c r="E183"/>
      <c r="F183"/>
      <c r="G183" s="27"/>
      <c r="H183"/>
      <c r="I183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</row>
    <row r="184" spans="1:20" ht="15" customHeight="1" x14ac:dyDescent="0.25">
      <c r="A184" s="4"/>
      <c r="B184" s="4"/>
      <c r="C184" s="4"/>
      <c r="D184" s="4"/>
      <c r="E184" s="4"/>
      <c r="F184" s="4"/>
      <c r="G184" s="25"/>
      <c r="H184" s="4"/>
      <c r="I184" s="4"/>
    </row>
    <row r="185" spans="1:20" s="4" customFormat="1" x14ac:dyDescent="0.25">
      <c r="A185"/>
      <c r="B185"/>
      <c r="C185"/>
      <c r="D185"/>
      <c r="E185"/>
      <c r="F185"/>
      <c r="G185" s="27"/>
      <c r="H185"/>
      <c r="I185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</row>
    <row r="186" spans="1:20" x14ac:dyDescent="0.25">
      <c r="A186" s="4"/>
      <c r="B186" s="4"/>
      <c r="C186" s="4"/>
      <c r="D186" s="4"/>
      <c r="E186" s="4"/>
      <c r="F186" s="4"/>
      <c r="G186" s="25"/>
      <c r="H186" s="4"/>
      <c r="I186" s="4"/>
    </row>
    <row r="187" spans="1:20" s="4" customFormat="1" x14ac:dyDescent="0.25">
      <c r="A187"/>
      <c r="B187"/>
      <c r="C187"/>
      <c r="D187"/>
      <c r="E187"/>
      <c r="F187"/>
      <c r="G187" s="27"/>
      <c r="H187"/>
      <c r="I187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</row>
    <row r="188" spans="1:20" x14ac:dyDescent="0.25">
      <c r="A188" s="4"/>
      <c r="B188" s="4"/>
      <c r="C188" s="4"/>
      <c r="D188" s="4"/>
      <c r="E188" s="4"/>
      <c r="F188" s="4"/>
      <c r="G188" s="25"/>
      <c r="H188" s="4"/>
      <c r="I188" s="4"/>
    </row>
    <row r="189" spans="1:20" s="4" customFormat="1" x14ac:dyDescent="0.25">
      <c r="A189"/>
      <c r="B189"/>
      <c r="C189"/>
      <c r="D189"/>
      <c r="E189"/>
      <c r="F189"/>
      <c r="G189" s="27"/>
      <c r="H189"/>
      <c r="I18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</row>
    <row r="190" spans="1:20" x14ac:dyDescent="0.25">
      <c r="A190" s="4"/>
      <c r="B190" s="4"/>
      <c r="C190" s="4"/>
      <c r="D190" s="4"/>
      <c r="E190" s="4"/>
      <c r="F190" s="4"/>
      <c r="G190" s="25"/>
      <c r="H190" s="4"/>
      <c r="I190" s="4"/>
    </row>
    <row r="191" spans="1:20" s="4" customFormat="1" x14ac:dyDescent="0.25">
      <c r="A191"/>
      <c r="B191"/>
      <c r="C191"/>
      <c r="D191"/>
      <c r="E191"/>
      <c r="F191"/>
      <c r="G191" s="27"/>
      <c r="H191"/>
      <c r="I191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</row>
    <row r="192" spans="1:20" x14ac:dyDescent="0.25">
      <c r="A192" s="4"/>
      <c r="B192" s="4"/>
      <c r="C192" s="4"/>
      <c r="D192" s="4"/>
      <c r="E192" s="4"/>
      <c r="F192" s="4"/>
      <c r="G192" s="25"/>
      <c r="H192" s="4"/>
      <c r="I192" s="4"/>
    </row>
    <row r="193" spans="1:20" s="4" customFormat="1" x14ac:dyDescent="0.25">
      <c r="A193"/>
      <c r="B193"/>
      <c r="C193"/>
      <c r="D193"/>
      <c r="E193"/>
      <c r="F193"/>
      <c r="G193" s="27"/>
      <c r="H193"/>
      <c r="I193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</row>
    <row r="194" spans="1:20" x14ac:dyDescent="0.25">
      <c r="A194" s="4"/>
      <c r="B194" s="4"/>
      <c r="C194" s="4"/>
      <c r="D194" s="4"/>
      <c r="E194" s="4"/>
      <c r="F194" s="4"/>
      <c r="G194" s="25"/>
      <c r="H194" s="4"/>
      <c r="I194" s="4"/>
    </row>
    <row r="195" spans="1:20" s="4" customFormat="1" x14ac:dyDescent="0.25">
      <c r="A195"/>
      <c r="B195"/>
      <c r="C195"/>
      <c r="D195"/>
      <c r="E195"/>
      <c r="F195"/>
      <c r="G195" s="27"/>
      <c r="H195"/>
      <c r="I195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</row>
    <row r="196" spans="1:20" x14ac:dyDescent="0.25">
      <c r="A196" s="4"/>
      <c r="B196" s="4"/>
      <c r="C196" s="4"/>
      <c r="D196" s="4"/>
      <c r="E196" s="4"/>
      <c r="F196" s="4"/>
      <c r="G196" s="25"/>
      <c r="H196" s="4"/>
      <c r="I196" s="4"/>
    </row>
    <row r="197" spans="1:20" s="4" customFormat="1" x14ac:dyDescent="0.25">
      <c r="A197"/>
      <c r="B197"/>
      <c r="C197"/>
      <c r="D197"/>
      <c r="E197"/>
      <c r="F197"/>
      <c r="G197" s="27"/>
      <c r="H197"/>
      <c r="I197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</row>
    <row r="198" spans="1:20" x14ac:dyDescent="0.25">
      <c r="A198" s="4"/>
      <c r="B198" s="4"/>
      <c r="C198" s="4"/>
      <c r="D198" s="4"/>
      <c r="E198" s="4"/>
      <c r="F198" s="4"/>
      <c r="G198" s="25"/>
      <c r="H198" s="4"/>
      <c r="I198" s="4"/>
    </row>
    <row r="199" spans="1:20" s="4" customFormat="1" x14ac:dyDescent="0.25">
      <c r="A199"/>
      <c r="B199"/>
      <c r="C199"/>
      <c r="D199"/>
      <c r="E199"/>
      <c r="F199"/>
      <c r="G199" s="27"/>
      <c r="H199"/>
      <c r="I19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</row>
    <row r="200" spans="1:20" x14ac:dyDescent="0.25">
      <c r="A200" s="4"/>
      <c r="B200" s="4"/>
      <c r="C200" s="4"/>
      <c r="D200" s="4"/>
      <c r="E200" s="4"/>
      <c r="F200" s="4"/>
      <c r="G200" s="25"/>
      <c r="H200" s="4"/>
      <c r="I200" s="4"/>
    </row>
    <row r="201" spans="1:20" s="4" customFormat="1" x14ac:dyDescent="0.25">
      <c r="A201"/>
      <c r="B201"/>
      <c r="C201"/>
      <c r="D201"/>
      <c r="E201"/>
      <c r="F201"/>
      <c r="G201" s="27"/>
      <c r="H201"/>
      <c r="I201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</row>
    <row r="202" spans="1:20" x14ac:dyDescent="0.25">
      <c r="A202" s="4"/>
      <c r="B202" s="4"/>
      <c r="C202" s="4"/>
      <c r="D202" s="4"/>
      <c r="E202" s="4"/>
      <c r="F202" s="4"/>
      <c r="G202" s="25"/>
      <c r="H202" s="4"/>
      <c r="I202" s="4"/>
    </row>
    <row r="203" spans="1:20" s="4" customFormat="1" x14ac:dyDescent="0.25">
      <c r="A203"/>
      <c r="B203"/>
      <c r="C203"/>
      <c r="D203"/>
      <c r="E203"/>
      <c r="F203"/>
      <c r="G203" s="27"/>
      <c r="H203"/>
      <c r="I203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</row>
    <row r="204" spans="1:20" x14ac:dyDescent="0.25">
      <c r="A204" s="4"/>
      <c r="B204" s="4"/>
      <c r="C204" s="4"/>
      <c r="D204" s="4"/>
      <c r="E204" s="4"/>
      <c r="F204" s="4"/>
      <c r="G204" s="25"/>
      <c r="H204" s="4"/>
      <c r="I204" s="4"/>
    </row>
    <row r="205" spans="1:20" s="4" customFormat="1" x14ac:dyDescent="0.25">
      <c r="A205"/>
      <c r="B205"/>
      <c r="C205"/>
      <c r="D205"/>
      <c r="E205"/>
      <c r="F205"/>
      <c r="G205" s="27"/>
      <c r="H205"/>
      <c r="I205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</row>
    <row r="206" spans="1:20" x14ac:dyDescent="0.25">
      <c r="A206" s="4"/>
      <c r="B206" s="4"/>
      <c r="C206" s="4"/>
      <c r="D206" s="4"/>
      <c r="E206" s="4"/>
      <c r="F206" s="4"/>
      <c r="G206" s="25"/>
      <c r="H206" s="4"/>
      <c r="I206" s="4"/>
    </row>
    <row r="207" spans="1:20" s="4" customFormat="1" x14ac:dyDescent="0.25">
      <c r="A207"/>
      <c r="B207"/>
      <c r="C207"/>
      <c r="D207"/>
      <c r="E207"/>
      <c r="F207"/>
      <c r="G207" s="27"/>
      <c r="H207"/>
      <c r="I207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</row>
    <row r="208" spans="1:20" x14ac:dyDescent="0.25">
      <c r="A208" s="4"/>
      <c r="B208" s="4"/>
      <c r="C208" s="4"/>
      <c r="D208" s="4"/>
      <c r="E208" s="4"/>
      <c r="F208" s="4"/>
      <c r="G208" s="25"/>
      <c r="H208" s="4"/>
      <c r="I208" s="4"/>
    </row>
    <row r="209" spans="1:20" s="4" customFormat="1" x14ac:dyDescent="0.25">
      <c r="A209"/>
      <c r="B209"/>
      <c r="C209"/>
      <c r="D209"/>
      <c r="E209"/>
      <c r="F209"/>
      <c r="G209" s="27"/>
      <c r="H209"/>
      <c r="I20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</row>
    <row r="210" spans="1:20" x14ac:dyDescent="0.25">
      <c r="A210" s="4"/>
      <c r="B210" s="4"/>
      <c r="C210" s="4"/>
      <c r="D210" s="4"/>
      <c r="E210" s="4"/>
      <c r="F210" s="4"/>
      <c r="G210" s="25"/>
      <c r="H210" s="4"/>
      <c r="I210" s="4"/>
    </row>
    <row r="211" spans="1:20" s="4" customFormat="1" x14ac:dyDescent="0.25">
      <c r="A211"/>
      <c r="B211"/>
      <c r="C211"/>
      <c r="D211"/>
      <c r="E211"/>
      <c r="F211"/>
      <c r="G211" s="27"/>
      <c r="H211"/>
      <c r="I211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</row>
    <row r="212" spans="1:20" x14ac:dyDescent="0.25">
      <c r="A212" s="4"/>
      <c r="B212" s="4"/>
      <c r="C212" s="4"/>
      <c r="D212" s="4"/>
      <c r="E212" s="4"/>
      <c r="F212" s="4"/>
      <c r="G212" s="25"/>
      <c r="H212" s="4"/>
      <c r="I212" s="4"/>
    </row>
    <row r="213" spans="1:20" s="4" customFormat="1" x14ac:dyDescent="0.25">
      <c r="A213"/>
      <c r="B213"/>
      <c r="C213"/>
      <c r="D213"/>
      <c r="E213"/>
      <c r="F213"/>
      <c r="G213" s="27"/>
      <c r="H213"/>
      <c r="I213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</row>
    <row r="214" spans="1:20" x14ac:dyDescent="0.25">
      <c r="A214" s="4"/>
      <c r="B214" s="4"/>
      <c r="C214" s="4"/>
      <c r="D214" s="4"/>
      <c r="E214" s="4"/>
      <c r="F214" s="4"/>
      <c r="G214" s="25"/>
      <c r="H214" s="4"/>
      <c r="I214" s="4"/>
    </row>
    <row r="215" spans="1:20" s="4" customFormat="1" x14ac:dyDescent="0.25">
      <c r="A215"/>
      <c r="B215"/>
      <c r="C215"/>
      <c r="D215"/>
      <c r="E215"/>
      <c r="F215"/>
      <c r="G215" s="27"/>
      <c r="H215"/>
      <c r="I215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</row>
    <row r="216" spans="1:20" x14ac:dyDescent="0.25">
      <c r="A216" s="4"/>
      <c r="B216" s="4"/>
      <c r="C216" s="4"/>
      <c r="D216" s="4"/>
      <c r="E216" s="4"/>
      <c r="F216" s="4"/>
      <c r="G216" s="25"/>
      <c r="H216" s="4"/>
      <c r="I216" s="4"/>
    </row>
    <row r="217" spans="1:20" s="4" customFormat="1" x14ac:dyDescent="0.25">
      <c r="A217"/>
      <c r="B217"/>
      <c r="C217"/>
      <c r="D217"/>
      <c r="E217"/>
      <c r="F217"/>
      <c r="G217" s="27"/>
      <c r="H217"/>
      <c r="I217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</row>
    <row r="218" spans="1:20" x14ac:dyDescent="0.25">
      <c r="A218" s="4"/>
      <c r="B218" s="4"/>
      <c r="C218" s="4"/>
      <c r="D218" s="4"/>
      <c r="E218" s="4"/>
      <c r="F218" s="4"/>
      <c r="G218" s="25"/>
      <c r="H218" s="4"/>
      <c r="I218" s="4"/>
    </row>
    <row r="219" spans="1:20" s="4" customFormat="1" x14ac:dyDescent="0.25">
      <c r="A219"/>
      <c r="B219"/>
      <c r="C219"/>
      <c r="D219"/>
      <c r="E219"/>
      <c r="F219"/>
      <c r="G219" s="27"/>
      <c r="H219"/>
      <c r="I21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</row>
    <row r="220" spans="1:20" x14ac:dyDescent="0.25">
      <c r="A220" s="4"/>
      <c r="B220" s="4"/>
      <c r="C220" s="4"/>
      <c r="D220" s="4"/>
      <c r="E220" s="4"/>
      <c r="F220" s="4"/>
      <c r="G220" s="25"/>
      <c r="H220" s="4"/>
      <c r="I220" s="4"/>
    </row>
    <row r="221" spans="1:20" s="4" customFormat="1" x14ac:dyDescent="0.25">
      <c r="A221"/>
      <c r="B221"/>
      <c r="C221"/>
      <c r="D221"/>
      <c r="E221"/>
      <c r="F221"/>
      <c r="G221" s="27"/>
      <c r="H221"/>
      <c r="I221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</row>
    <row r="222" spans="1:20" x14ac:dyDescent="0.25">
      <c r="A222" s="4"/>
      <c r="B222" s="4"/>
      <c r="C222" s="4"/>
      <c r="D222" s="4"/>
      <c r="E222" s="4"/>
      <c r="F222" s="4"/>
      <c r="G222" s="25"/>
      <c r="H222" s="4"/>
      <c r="I222" s="4"/>
    </row>
    <row r="223" spans="1:20" s="4" customFormat="1" x14ac:dyDescent="0.25">
      <c r="A223"/>
      <c r="B223"/>
      <c r="C223"/>
      <c r="D223"/>
      <c r="E223"/>
      <c r="F223"/>
      <c r="G223" s="27"/>
      <c r="H223"/>
      <c r="I223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</row>
    <row r="224" spans="1:20" x14ac:dyDescent="0.25">
      <c r="A224" s="4"/>
      <c r="B224" s="4"/>
      <c r="C224" s="4"/>
      <c r="D224" s="4"/>
      <c r="E224" s="4"/>
      <c r="F224" s="4"/>
      <c r="G224" s="25"/>
      <c r="H224" s="4"/>
      <c r="I224" s="4"/>
    </row>
    <row r="225" spans="1:20" s="4" customFormat="1" x14ac:dyDescent="0.25">
      <c r="A225"/>
      <c r="B225"/>
      <c r="C225"/>
      <c r="D225"/>
      <c r="E225"/>
      <c r="F225"/>
      <c r="G225" s="27"/>
      <c r="H225"/>
      <c r="I225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</row>
    <row r="226" spans="1:20" x14ac:dyDescent="0.25">
      <c r="A226" s="4"/>
      <c r="B226" s="4"/>
      <c r="C226" s="4"/>
      <c r="D226" s="4"/>
      <c r="E226" s="4"/>
      <c r="F226" s="4"/>
      <c r="G226" s="25"/>
      <c r="H226" s="4"/>
      <c r="I226" s="4"/>
    </row>
    <row r="227" spans="1:20" s="4" customFormat="1" x14ac:dyDescent="0.25">
      <c r="A227"/>
      <c r="B227"/>
      <c r="C227"/>
      <c r="D227"/>
      <c r="E227"/>
      <c r="F227"/>
      <c r="G227" s="27"/>
      <c r="H227"/>
      <c r="I227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</row>
    <row r="228" spans="1:20" x14ac:dyDescent="0.25">
      <c r="A228" s="4"/>
      <c r="B228" s="4"/>
      <c r="C228" s="4"/>
      <c r="D228" s="4"/>
      <c r="E228" s="4"/>
      <c r="F228" s="4"/>
      <c r="G228" s="25"/>
      <c r="H228" s="4"/>
      <c r="I228" s="4"/>
    </row>
    <row r="229" spans="1:20" s="4" customFormat="1" x14ac:dyDescent="0.25">
      <c r="A229"/>
      <c r="B229"/>
      <c r="C229"/>
      <c r="D229"/>
      <c r="E229"/>
      <c r="F229"/>
      <c r="G229" s="27"/>
      <c r="H229"/>
      <c r="I22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</row>
    <row r="230" spans="1:20" x14ac:dyDescent="0.25">
      <c r="A230" s="4"/>
      <c r="B230" s="4"/>
      <c r="C230" s="4"/>
      <c r="D230" s="4"/>
      <c r="E230" s="4"/>
      <c r="F230" s="4"/>
      <c r="G230" s="25"/>
      <c r="H230" s="4"/>
      <c r="I230" s="4"/>
    </row>
    <row r="231" spans="1:20" s="4" customFormat="1" x14ac:dyDescent="0.25">
      <c r="A231"/>
      <c r="B231"/>
      <c r="C231"/>
      <c r="D231"/>
      <c r="E231"/>
      <c r="F231"/>
      <c r="G231" s="27"/>
      <c r="H231"/>
      <c r="I231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</row>
    <row r="232" spans="1:20" x14ac:dyDescent="0.25">
      <c r="A232" s="4"/>
      <c r="B232" s="4"/>
      <c r="C232" s="4"/>
      <c r="D232" s="4"/>
      <c r="E232" s="4"/>
      <c r="F232" s="4"/>
      <c r="G232" s="25"/>
      <c r="H232" s="4"/>
      <c r="I232" s="4"/>
    </row>
    <row r="233" spans="1:20" s="4" customFormat="1" x14ac:dyDescent="0.25">
      <c r="A233"/>
      <c r="B233"/>
      <c r="C233"/>
      <c r="D233"/>
      <c r="E233"/>
      <c r="F233"/>
      <c r="G233" s="27"/>
      <c r="H233"/>
      <c r="I233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</row>
    <row r="235" spans="1:20" s="4" customFormat="1" x14ac:dyDescent="0.25">
      <c r="A235"/>
      <c r="B235"/>
      <c r="C235"/>
      <c r="D235"/>
      <c r="E235"/>
      <c r="F235"/>
      <c r="G235" s="27"/>
      <c r="H235"/>
      <c r="I235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</row>
    <row r="237" spans="1:20" s="4" customFormat="1" x14ac:dyDescent="0.25">
      <c r="A237"/>
      <c r="B237"/>
      <c r="C237"/>
      <c r="D237"/>
      <c r="E237"/>
      <c r="F237"/>
      <c r="G237" s="27"/>
      <c r="H237"/>
      <c r="I237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49"/>
  <sheetViews>
    <sheetView workbookViewId="0">
      <selection activeCell="A6" sqref="A6:B12"/>
    </sheetView>
  </sheetViews>
  <sheetFormatPr defaultRowHeight="15" x14ac:dyDescent="0.25"/>
  <cols>
    <col min="1" max="1" width="18.28515625" customWidth="1"/>
    <col min="9" max="9" width="11.5703125" customWidth="1"/>
    <col min="10" max="10" width="9.140625" customWidth="1"/>
  </cols>
  <sheetData>
    <row r="1" spans="1:19" x14ac:dyDescent="0.25">
      <c r="A1" s="1" t="s">
        <v>16</v>
      </c>
      <c r="B1" s="1"/>
      <c r="L1" s="1"/>
      <c r="M1" s="5" t="s">
        <v>17</v>
      </c>
      <c r="Q1" s="1" t="s">
        <v>18</v>
      </c>
    </row>
    <row r="2" spans="1:19" x14ac:dyDescent="0.25">
      <c r="A2" s="1" t="s">
        <v>19</v>
      </c>
      <c r="B2" s="1"/>
    </row>
    <row r="3" spans="1:19" x14ac:dyDescent="0.25">
      <c r="A3" s="1" t="s">
        <v>20</v>
      </c>
      <c r="B3" s="1"/>
      <c r="M3" s="1" t="s">
        <v>5</v>
      </c>
      <c r="N3" t="s">
        <v>4</v>
      </c>
      <c r="O3" t="s">
        <v>12</v>
      </c>
      <c r="Q3" s="1" t="s">
        <v>3</v>
      </c>
      <c r="R3" t="s">
        <v>4</v>
      </c>
      <c r="S3" t="s">
        <v>12</v>
      </c>
    </row>
    <row r="4" spans="1:19" x14ac:dyDescent="0.25">
      <c r="B4" s="38" t="s">
        <v>21</v>
      </c>
      <c r="C4" s="39"/>
      <c r="D4" s="39"/>
      <c r="E4" s="39"/>
      <c r="F4" s="39"/>
      <c r="G4" s="39"/>
      <c r="H4" s="39"/>
    </row>
    <row r="5" spans="1:19" x14ac:dyDescent="0.25">
      <c r="A5" s="2" t="s">
        <v>22</v>
      </c>
      <c r="B5" s="3">
        <v>1</v>
      </c>
      <c r="C5" s="3">
        <v>2</v>
      </c>
      <c r="D5" s="3">
        <v>3</v>
      </c>
      <c r="E5" s="3">
        <v>4</v>
      </c>
      <c r="F5" s="3">
        <v>5</v>
      </c>
      <c r="G5" s="3">
        <v>6</v>
      </c>
      <c r="H5" s="2" t="s">
        <v>23</v>
      </c>
      <c r="I5" s="2" t="s">
        <v>24</v>
      </c>
      <c r="J5" s="2" t="s">
        <v>25</v>
      </c>
      <c r="K5" s="2" t="s">
        <v>26</v>
      </c>
      <c r="M5" s="1" t="s">
        <v>9</v>
      </c>
      <c r="N5" t="s">
        <v>4</v>
      </c>
      <c r="O5" t="s">
        <v>12</v>
      </c>
      <c r="Q5" s="1" t="s">
        <v>8</v>
      </c>
      <c r="R5" t="s">
        <v>4</v>
      </c>
      <c r="S5" t="s">
        <v>12</v>
      </c>
    </row>
    <row r="7" spans="1:19" s="4" customFormat="1" x14ac:dyDescent="0.25">
      <c r="L7"/>
      <c r="M7" s="1" t="s">
        <v>11</v>
      </c>
      <c r="N7"/>
      <c r="O7" t="s">
        <v>12</v>
      </c>
      <c r="P7"/>
      <c r="Q7" s="1" t="s">
        <v>10</v>
      </c>
      <c r="R7" t="s">
        <v>4</v>
      </c>
      <c r="S7" t="s">
        <v>12</v>
      </c>
    </row>
    <row r="9" spans="1:19" s="4" customFormat="1" x14ac:dyDescent="0.25">
      <c r="L9"/>
      <c r="M9"/>
      <c r="N9"/>
      <c r="O9"/>
      <c r="P9"/>
      <c r="Q9" s="1" t="s">
        <v>13</v>
      </c>
      <c r="R9" t="s">
        <v>4</v>
      </c>
      <c r="S9" t="s">
        <v>12</v>
      </c>
    </row>
    <row r="11" spans="1:19" s="4" customFormat="1" x14ac:dyDescent="0.25">
      <c r="L11"/>
      <c r="M11"/>
      <c r="N11"/>
      <c r="O11"/>
      <c r="P11"/>
      <c r="Q11" s="1" t="s">
        <v>14</v>
      </c>
      <c r="R11" t="s">
        <v>4</v>
      </c>
      <c r="S11" t="s">
        <v>12</v>
      </c>
    </row>
    <row r="13" spans="1:19" s="4" customFormat="1" x14ac:dyDescent="0.25">
      <c r="L13"/>
      <c r="M13"/>
      <c r="N13"/>
      <c r="O13"/>
      <c r="P13"/>
      <c r="Q13" s="1" t="s">
        <v>15</v>
      </c>
      <c r="R13"/>
      <c r="S13" t="s">
        <v>12</v>
      </c>
    </row>
    <row r="15" spans="1:19" s="4" customFormat="1" x14ac:dyDescent="0.25">
      <c r="L15"/>
      <c r="M15"/>
      <c r="N15"/>
      <c r="O15"/>
      <c r="P15"/>
      <c r="Q15"/>
      <c r="R15"/>
      <c r="S15"/>
    </row>
    <row r="17" spans="12:19" s="4" customFormat="1" x14ac:dyDescent="0.25">
      <c r="L17"/>
      <c r="M17"/>
      <c r="N17"/>
      <c r="O17"/>
      <c r="P17"/>
      <c r="Q17"/>
      <c r="R17"/>
      <c r="S17"/>
    </row>
    <row r="19" spans="12:19" s="4" customFormat="1" x14ac:dyDescent="0.25">
      <c r="L19"/>
      <c r="M19"/>
      <c r="N19"/>
      <c r="O19"/>
      <c r="P19"/>
      <c r="Q19"/>
      <c r="R19"/>
      <c r="S19"/>
    </row>
    <row r="21" spans="12:19" s="4" customFormat="1" x14ac:dyDescent="0.25">
      <c r="L21"/>
      <c r="M21"/>
      <c r="N21"/>
      <c r="O21"/>
      <c r="P21"/>
      <c r="Q21"/>
      <c r="R21"/>
      <c r="S21"/>
    </row>
    <row r="23" spans="12:19" s="4" customFormat="1" x14ac:dyDescent="0.25">
      <c r="L23"/>
      <c r="M23"/>
      <c r="N23"/>
      <c r="O23"/>
      <c r="P23"/>
      <c r="Q23"/>
      <c r="R23"/>
      <c r="S23"/>
    </row>
    <row r="25" spans="12:19" s="4" customFormat="1" x14ac:dyDescent="0.25">
      <c r="L25"/>
      <c r="M25"/>
      <c r="N25"/>
      <c r="O25"/>
      <c r="P25"/>
      <c r="Q25"/>
      <c r="R25"/>
      <c r="S25"/>
    </row>
    <row r="27" spans="12:19" s="4" customFormat="1" x14ac:dyDescent="0.25">
      <c r="L27"/>
      <c r="M27"/>
      <c r="N27"/>
      <c r="O27"/>
      <c r="P27"/>
      <c r="Q27"/>
      <c r="R27"/>
      <c r="S27"/>
    </row>
    <row r="29" spans="12:19" s="4" customFormat="1" x14ac:dyDescent="0.25">
      <c r="L29"/>
      <c r="M29"/>
      <c r="N29"/>
      <c r="O29"/>
      <c r="P29"/>
      <c r="Q29"/>
      <c r="R29"/>
      <c r="S29"/>
    </row>
    <row r="31" spans="12:19" s="4" customFormat="1" x14ac:dyDescent="0.25">
      <c r="L31"/>
      <c r="M31"/>
      <c r="N31"/>
      <c r="O31"/>
      <c r="P31"/>
      <c r="Q31"/>
      <c r="R31"/>
      <c r="S31"/>
    </row>
    <row r="33" spans="12:19" s="4" customFormat="1" x14ac:dyDescent="0.25">
      <c r="L33"/>
      <c r="M33"/>
      <c r="N33"/>
      <c r="O33"/>
      <c r="P33"/>
      <c r="Q33"/>
      <c r="R33"/>
      <c r="S33"/>
    </row>
    <row r="35" spans="12:19" s="4" customFormat="1" x14ac:dyDescent="0.25">
      <c r="L35"/>
      <c r="M35"/>
      <c r="N35"/>
      <c r="O35"/>
      <c r="P35"/>
      <c r="Q35"/>
      <c r="R35"/>
      <c r="S35"/>
    </row>
    <row r="37" spans="12:19" s="4" customFormat="1" x14ac:dyDescent="0.25">
      <c r="L37"/>
      <c r="M37"/>
      <c r="N37"/>
      <c r="O37"/>
      <c r="P37"/>
      <c r="Q37"/>
      <c r="R37"/>
      <c r="S37"/>
    </row>
    <row r="39" spans="12:19" s="4" customFormat="1" x14ac:dyDescent="0.25">
      <c r="L39"/>
      <c r="M39"/>
      <c r="N39"/>
      <c r="O39"/>
      <c r="P39"/>
      <c r="Q39"/>
      <c r="R39"/>
      <c r="S39"/>
    </row>
    <row r="41" spans="12:19" s="4" customFormat="1" x14ac:dyDescent="0.25">
      <c r="L41"/>
      <c r="M41"/>
      <c r="N41"/>
      <c r="O41"/>
      <c r="P41"/>
      <c r="Q41"/>
      <c r="R41"/>
      <c r="S41"/>
    </row>
    <row r="43" spans="12:19" s="4" customFormat="1" x14ac:dyDescent="0.25">
      <c r="L43"/>
      <c r="M43"/>
      <c r="N43"/>
      <c r="O43"/>
      <c r="P43"/>
      <c r="Q43"/>
      <c r="R43"/>
      <c r="S43"/>
    </row>
    <row r="45" spans="12:19" s="4" customFormat="1" x14ac:dyDescent="0.25">
      <c r="L45"/>
      <c r="M45"/>
      <c r="N45"/>
      <c r="O45"/>
      <c r="P45"/>
      <c r="Q45"/>
      <c r="R45"/>
      <c r="S45"/>
    </row>
    <row r="47" spans="12:19" s="4" customFormat="1" x14ac:dyDescent="0.25">
      <c r="L47"/>
      <c r="M47"/>
      <c r="N47"/>
      <c r="O47"/>
      <c r="P47"/>
      <c r="Q47"/>
      <c r="R47"/>
      <c r="S47"/>
    </row>
    <row r="49" spans="12:19" s="4" customFormat="1" x14ac:dyDescent="0.25">
      <c r="L49"/>
      <c r="M49"/>
      <c r="N49"/>
      <c r="O49"/>
      <c r="P49"/>
      <c r="Q49"/>
      <c r="R49"/>
      <c r="S49"/>
    </row>
    <row r="51" spans="12:19" s="4" customFormat="1" x14ac:dyDescent="0.25">
      <c r="L51"/>
      <c r="M51"/>
      <c r="N51"/>
      <c r="O51"/>
      <c r="P51"/>
      <c r="Q51"/>
      <c r="R51"/>
      <c r="S51"/>
    </row>
    <row r="53" spans="12:19" s="4" customFormat="1" x14ac:dyDescent="0.25">
      <c r="L53"/>
      <c r="M53"/>
      <c r="N53"/>
      <c r="O53"/>
      <c r="P53"/>
      <c r="Q53"/>
      <c r="R53"/>
      <c r="S53"/>
    </row>
    <row r="55" spans="12:19" s="4" customFormat="1" x14ac:dyDescent="0.25">
      <c r="L55"/>
      <c r="M55"/>
      <c r="N55"/>
      <c r="O55"/>
      <c r="P55"/>
      <c r="Q55"/>
      <c r="R55"/>
      <c r="S55"/>
    </row>
    <row r="57" spans="12:19" s="4" customFormat="1" x14ac:dyDescent="0.25">
      <c r="L57"/>
      <c r="M57"/>
      <c r="N57"/>
      <c r="O57"/>
      <c r="P57"/>
      <c r="Q57"/>
      <c r="R57"/>
      <c r="S57"/>
    </row>
    <row r="59" spans="12:19" s="4" customFormat="1" x14ac:dyDescent="0.25">
      <c r="L59"/>
      <c r="M59"/>
      <c r="N59"/>
      <c r="O59"/>
      <c r="P59"/>
      <c r="Q59"/>
      <c r="R59"/>
      <c r="S59"/>
    </row>
    <row r="61" spans="12:19" s="4" customFormat="1" x14ac:dyDescent="0.25">
      <c r="L61"/>
      <c r="M61"/>
      <c r="N61"/>
      <c r="O61"/>
      <c r="P61"/>
      <c r="Q61"/>
      <c r="R61"/>
      <c r="S61"/>
    </row>
    <row r="63" spans="12:19" s="4" customFormat="1" x14ac:dyDescent="0.25">
      <c r="L63"/>
      <c r="M63"/>
      <c r="N63"/>
      <c r="O63"/>
      <c r="P63"/>
      <c r="Q63"/>
      <c r="R63"/>
      <c r="S63"/>
    </row>
    <row r="65" spans="12:19" s="4" customFormat="1" x14ac:dyDescent="0.25">
      <c r="L65"/>
      <c r="M65"/>
      <c r="N65"/>
      <c r="O65"/>
      <c r="P65"/>
      <c r="Q65"/>
      <c r="R65"/>
      <c r="S65"/>
    </row>
    <row r="67" spans="12:19" s="4" customFormat="1" x14ac:dyDescent="0.25">
      <c r="L67"/>
      <c r="M67"/>
      <c r="N67"/>
      <c r="O67"/>
      <c r="P67"/>
      <c r="Q67"/>
      <c r="R67"/>
      <c r="S67"/>
    </row>
    <row r="69" spans="12:19" s="4" customFormat="1" x14ac:dyDescent="0.25">
      <c r="L69"/>
      <c r="M69"/>
      <c r="N69"/>
      <c r="O69"/>
      <c r="P69"/>
      <c r="Q69"/>
      <c r="R69"/>
      <c r="S69"/>
    </row>
    <row r="71" spans="12:19" s="4" customFormat="1" x14ac:dyDescent="0.25">
      <c r="L71"/>
      <c r="M71"/>
      <c r="N71"/>
      <c r="O71"/>
      <c r="P71"/>
      <c r="Q71"/>
      <c r="R71"/>
      <c r="S71"/>
    </row>
    <row r="73" spans="12:19" s="4" customFormat="1" x14ac:dyDescent="0.25">
      <c r="L73"/>
      <c r="M73"/>
      <c r="N73"/>
      <c r="O73"/>
      <c r="P73"/>
      <c r="Q73"/>
      <c r="R73"/>
      <c r="S73"/>
    </row>
    <row r="75" spans="12:19" s="4" customFormat="1" x14ac:dyDescent="0.25">
      <c r="L75"/>
      <c r="M75"/>
      <c r="N75"/>
      <c r="O75"/>
      <c r="P75"/>
      <c r="Q75"/>
      <c r="R75"/>
      <c r="S75"/>
    </row>
    <row r="77" spans="12:19" s="4" customFormat="1" x14ac:dyDescent="0.25">
      <c r="L77"/>
      <c r="M77"/>
      <c r="N77"/>
      <c r="O77"/>
      <c r="P77"/>
      <c r="Q77"/>
      <c r="R77"/>
      <c r="S77"/>
    </row>
    <row r="79" spans="12:19" s="4" customFormat="1" x14ac:dyDescent="0.25">
      <c r="L79"/>
      <c r="M79"/>
      <c r="N79"/>
      <c r="O79"/>
      <c r="P79"/>
      <c r="Q79"/>
      <c r="R79"/>
      <c r="S79"/>
    </row>
    <row r="81" spans="12:19" s="4" customFormat="1" x14ac:dyDescent="0.25">
      <c r="L81"/>
      <c r="M81"/>
      <c r="N81"/>
      <c r="O81"/>
      <c r="P81"/>
      <c r="Q81"/>
      <c r="R81"/>
      <c r="S81"/>
    </row>
    <row r="83" spans="12:19" s="4" customFormat="1" x14ac:dyDescent="0.25">
      <c r="L83"/>
      <c r="M83"/>
      <c r="N83"/>
      <c r="O83"/>
      <c r="P83"/>
      <c r="Q83"/>
      <c r="R83"/>
      <c r="S83"/>
    </row>
    <row r="85" spans="12:19" s="4" customFormat="1" x14ac:dyDescent="0.25">
      <c r="L85"/>
      <c r="M85"/>
      <c r="N85"/>
      <c r="O85"/>
      <c r="P85"/>
      <c r="Q85"/>
      <c r="R85"/>
      <c r="S85"/>
    </row>
    <row r="87" spans="12:19" s="4" customFormat="1" x14ac:dyDescent="0.25">
      <c r="L87"/>
      <c r="M87"/>
      <c r="N87"/>
      <c r="O87"/>
      <c r="P87"/>
      <c r="Q87"/>
      <c r="R87"/>
      <c r="S87"/>
    </row>
    <row r="89" spans="12:19" s="4" customFormat="1" x14ac:dyDescent="0.25">
      <c r="L89"/>
      <c r="M89"/>
      <c r="N89"/>
      <c r="O89"/>
      <c r="P89"/>
      <c r="Q89"/>
      <c r="R89"/>
      <c r="S89"/>
    </row>
    <row r="91" spans="12:19" s="4" customFormat="1" x14ac:dyDescent="0.25">
      <c r="L91"/>
      <c r="M91"/>
      <c r="N91"/>
      <c r="O91"/>
      <c r="P91"/>
      <c r="Q91"/>
      <c r="R91"/>
      <c r="S91"/>
    </row>
    <row r="93" spans="12:19" s="4" customFormat="1" x14ac:dyDescent="0.25">
      <c r="L93"/>
      <c r="M93"/>
      <c r="N93"/>
      <c r="O93"/>
      <c r="P93"/>
      <c r="Q93"/>
      <c r="R93"/>
      <c r="S93"/>
    </row>
    <row r="95" spans="12:19" s="4" customFormat="1" x14ac:dyDescent="0.25">
      <c r="L95"/>
      <c r="M95"/>
      <c r="N95"/>
      <c r="O95"/>
      <c r="P95"/>
      <c r="Q95"/>
      <c r="R95"/>
      <c r="S95"/>
    </row>
    <row r="97" spans="12:19" s="4" customFormat="1" x14ac:dyDescent="0.25">
      <c r="L97"/>
      <c r="M97"/>
      <c r="N97"/>
      <c r="O97"/>
      <c r="P97"/>
      <c r="Q97"/>
      <c r="R97"/>
      <c r="S97"/>
    </row>
    <row r="99" spans="12:19" s="4" customFormat="1" x14ac:dyDescent="0.25">
      <c r="L99"/>
      <c r="M99"/>
      <c r="N99"/>
      <c r="O99"/>
      <c r="P99"/>
      <c r="Q99"/>
      <c r="R99"/>
      <c r="S99"/>
    </row>
    <row r="101" spans="12:19" s="4" customFormat="1" x14ac:dyDescent="0.25">
      <c r="L101"/>
      <c r="M101"/>
      <c r="N101"/>
      <c r="O101"/>
      <c r="P101"/>
      <c r="Q101"/>
      <c r="R101"/>
      <c r="S101"/>
    </row>
    <row r="103" spans="12:19" s="4" customFormat="1" x14ac:dyDescent="0.25">
      <c r="L103"/>
      <c r="M103"/>
      <c r="N103"/>
      <c r="O103"/>
      <c r="P103"/>
      <c r="Q103"/>
      <c r="R103"/>
      <c r="S103"/>
    </row>
    <row r="105" spans="12:19" s="4" customFormat="1" x14ac:dyDescent="0.25">
      <c r="L105"/>
      <c r="M105"/>
      <c r="N105"/>
      <c r="O105"/>
      <c r="P105"/>
      <c r="Q105"/>
      <c r="R105"/>
      <c r="S105"/>
    </row>
    <row r="107" spans="12:19" s="4" customFormat="1" x14ac:dyDescent="0.25">
      <c r="L107"/>
      <c r="M107"/>
      <c r="N107"/>
      <c r="O107"/>
      <c r="P107"/>
      <c r="Q107"/>
      <c r="R107"/>
      <c r="S107"/>
    </row>
    <row r="109" spans="12:19" s="4" customFormat="1" x14ac:dyDescent="0.25">
      <c r="L109"/>
      <c r="M109"/>
      <c r="N109"/>
      <c r="O109"/>
      <c r="P109"/>
      <c r="Q109"/>
      <c r="R109"/>
      <c r="S109"/>
    </row>
    <row r="111" spans="12:19" s="4" customFormat="1" x14ac:dyDescent="0.25">
      <c r="L111"/>
      <c r="M111"/>
      <c r="N111"/>
      <c r="O111"/>
      <c r="P111"/>
      <c r="Q111"/>
      <c r="R111"/>
      <c r="S111"/>
    </row>
    <row r="113" spans="12:19" s="4" customFormat="1" x14ac:dyDescent="0.25">
      <c r="L113"/>
      <c r="M113"/>
      <c r="N113"/>
      <c r="O113"/>
      <c r="P113"/>
      <c r="Q113"/>
      <c r="R113"/>
      <c r="S113"/>
    </row>
    <row r="115" spans="12:19" s="4" customFormat="1" x14ac:dyDescent="0.25">
      <c r="L115"/>
      <c r="M115"/>
      <c r="N115"/>
      <c r="O115"/>
      <c r="P115"/>
      <c r="Q115"/>
      <c r="R115"/>
      <c r="S115"/>
    </row>
    <row r="117" spans="12:19" s="4" customFormat="1" x14ac:dyDescent="0.25">
      <c r="L117"/>
      <c r="M117"/>
      <c r="N117"/>
      <c r="O117"/>
      <c r="P117"/>
      <c r="Q117"/>
      <c r="R117"/>
      <c r="S117"/>
    </row>
    <row r="119" spans="12:19" s="4" customFormat="1" x14ac:dyDescent="0.25">
      <c r="L119"/>
      <c r="M119"/>
      <c r="N119"/>
      <c r="O119"/>
      <c r="P119"/>
      <c r="Q119"/>
      <c r="R119"/>
      <c r="S119"/>
    </row>
    <row r="121" spans="12:19" s="4" customFormat="1" x14ac:dyDescent="0.25">
      <c r="L121"/>
      <c r="M121"/>
      <c r="N121"/>
      <c r="O121"/>
      <c r="P121"/>
      <c r="Q121"/>
      <c r="R121"/>
      <c r="S121"/>
    </row>
    <row r="123" spans="12:19" s="4" customFormat="1" x14ac:dyDescent="0.25">
      <c r="L123"/>
      <c r="M123"/>
      <c r="N123"/>
      <c r="O123"/>
      <c r="P123"/>
      <c r="Q123"/>
      <c r="R123"/>
      <c r="S123"/>
    </row>
    <row r="125" spans="12:19" s="4" customFormat="1" x14ac:dyDescent="0.25">
      <c r="L125"/>
      <c r="M125"/>
      <c r="N125"/>
      <c r="O125"/>
      <c r="P125"/>
      <c r="Q125"/>
      <c r="R125"/>
      <c r="S125"/>
    </row>
    <row r="127" spans="12:19" s="4" customFormat="1" x14ac:dyDescent="0.25">
      <c r="L127"/>
      <c r="M127"/>
      <c r="N127"/>
      <c r="O127"/>
      <c r="P127"/>
      <c r="Q127"/>
      <c r="R127"/>
      <c r="S127"/>
    </row>
    <row r="129" spans="12:19" s="4" customFormat="1" x14ac:dyDescent="0.25">
      <c r="L129"/>
      <c r="M129"/>
      <c r="N129"/>
      <c r="O129"/>
      <c r="P129"/>
      <c r="Q129"/>
      <c r="R129"/>
      <c r="S129"/>
    </row>
    <row r="131" spans="12:19" s="4" customFormat="1" x14ac:dyDescent="0.25">
      <c r="L131"/>
      <c r="M131"/>
      <c r="N131"/>
      <c r="O131"/>
      <c r="P131"/>
      <c r="Q131"/>
      <c r="R131"/>
      <c r="S131"/>
    </row>
    <row r="133" spans="12:19" s="4" customFormat="1" x14ac:dyDescent="0.25">
      <c r="L133"/>
      <c r="M133"/>
      <c r="N133"/>
      <c r="O133"/>
      <c r="P133"/>
      <c r="Q133"/>
      <c r="R133"/>
      <c r="S133"/>
    </row>
    <row r="135" spans="12:19" s="4" customFormat="1" x14ac:dyDescent="0.25">
      <c r="L135"/>
      <c r="M135"/>
      <c r="N135"/>
      <c r="O135"/>
      <c r="P135"/>
      <c r="Q135"/>
      <c r="R135"/>
      <c r="S135"/>
    </row>
    <row r="137" spans="12:19" s="4" customFormat="1" x14ac:dyDescent="0.25">
      <c r="L137"/>
      <c r="M137"/>
      <c r="N137"/>
      <c r="O137"/>
      <c r="P137"/>
      <c r="Q137"/>
      <c r="R137"/>
      <c r="S137"/>
    </row>
    <row r="139" spans="12:19" s="4" customFormat="1" x14ac:dyDescent="0.25">
      <c r="L139"/>
      <c r="M139"/>
      <c r="N139"/>
      <c r="O139"/>
      <c r="P139"/>
      <c r="Q139"/>
      <c r="R139"/>
      <c r="S139"/>
    </row>
    <row r="141" spans="12:19" s="4" customFormat="1" x14ac:dyDescent="0.25">
      <c r="L141"/>
      <c r="M141"/>
      <c r="N141"/>
      <c r="O141"/>
      <c r="P141"/>
      <c r="Q141"/>
      <c r="R141"/>
      <c r="S141"/>
    </row>
    <row r="143" spans="12:19" s="4" customFormat="1" x14ac:dyDescent="0.25">
      <c r="L143"/>
      <c r="M143"/>
      <c r="N143"/>
      <c r="O143"/>
      <c r="P143"/>
      <c r="Q143"/>
      <c r="R143"/>
      <c r="S143"/>
    </row>
    <row r="145" spans="12:19" s="4" customFormat="1" x14ac:dyDescent="0.25">
      <c r="L145"/>
      <c r="M145"/>
      <c r="N145"/>
      <c r="O145"/>
      <c r="P145"/>
      <c r="Q145"/>
      <c r="R145"/>
      <c r="S145"/>
    </row>
    <row r="147" spans="12:19" s="4" customFormat="1" x14ac:dyDescent="0.25">
      <c r="L147"/>
      <c r="M147"/>
      <c r="N147"/>
      <c r="O147"/>
      <c r="P147"/>
      <c r="Q147"/>
      <c r="R147"/>
      <c r="S147"/>
    </row>
    <row r="149" spans="12:19" s="4" customFormat="1" x14ac:dyDescent="0.25">
      <c r="L149"/>
      <c r="M149"/>
      <c r="N149"/>
      <c r="O149"/>
      <c r="P149"/>
      <c r="Q149"/>
      <c r="R149"/>
      <c r="S149"/>
    </row>
    <row r="151" spans="12:19" s="4" customFormat="1" x14ac:dyDescent="0.25">
      <c r="L151"/>
      <c r="M151"/>
      <c r="N151"/>
      <c r="O151"/>
      <c r="P151"/>
      <c r="Q151"/>
      <c r="R151"/>
      <c r="S151"/>
    </row>
    <row r="153" spans="12:19" s="4" customFormat="1" x14ac:dyDescent="0.25">
      <c r="L153"/>
      <c r="M153"/>
      <c r="N153"/>
      <c r="O153"/>
      <c r="P153"/>
      <c r="Q153"/>
      <c r="R153"/>
      <c r="S153"/>
    </row>
    <row r="155" spans="12:19" s="4" customFormat="1" x14ac:dyDescent="0.25">
      <c r="L155"/>
      <c r="M155"/>
      <c r="N155"/>
      <c r="O155"/>
      <c r="P155"/>
      <c r="Q155"/>
      <c r="R155"/>
      <c r="S155"/>
    </row>
    <row r="157" spans="12:19" s="4" customFormat="1" x14ac:dyDescent="0.25">
      <c r="L157"/>
      <c r="M157"/>
      <c r="N157"/>
      <c r="O157"/>
      <c r="P157"/>
      <c r="Q157"/>
      <c r="R157"/>
      <c r="S157"/>
    </row>
    <row r="159" spans="12:19" s="4" customFormat="1" x14ac:dyDescent="0.25">
      <c r="L159"/>
      <c r="M159"/>
      <c r="N159"/>
      <c r="O159"/>
      <c r="P159"/>
      <c r="Q159"/>
      <c r="R159"/>
      <c r="S159"/>
    </row>
    <row r="161" spans="12:19" s="4" customFormat="1" x14ac:dyDescent="0.25">
      <c r="L161"/>
      <c r="M161"/>
      <c r="N161"/>
      <c r="O161"/>
      <c r="P161"/>
      <c r="Q161"/>
      <c r="R161"/>
      <c r="S161"/>
    </row>
    <row r="163" spans="12:19" s="4" customFormat="1" x14ac:dyDescent="0.25">
      <c r="L163"/>
      <c r="M163"/>
      <c r="N163"/>
      <c r="O163"/>
      <c r="P163"/>
      <c r="Q163"/>
      <c r="R163"/>
      <c r="S163"/>
    </row>
    <row r="165" spans="12:19" s="4" customFormat="1" x14ac:dyDescent="0.25">
      <c r="L165"/>
      <c r="M165"/>
      <c r="N165"/>
      <c r="O165"/>
      <c r="P165"/>
      <c r="Q165"/>
      <c r="R165"/>
      <c r="S165"/>
    </row>
    <row r="167" spans="12:19" s="4" customFormat="1" x14ac:dyDescent="0.25">
      <c r="L167"/>
      <c r="M167"/>
      <c r="N167"/>
      <c r="O167"/>
      <c r="P167"/>
      <c r="Q167"/>
      <c r="R167"/>
      <c r="S167"/>
    </row>
    <row r="169" spans="12:19" s="4" customFormat="1" x14ac:dyDescent="0.25">
      <c r="L169"/>
      <c r="M169"/>
      <c r="N169"/>
      <c r="O169"/>
      <c r="P169"/>
      <c r="Q169"/>
      <c r="R169"/>
      <c r="S169"/>
    </row>
    <row r="171" spans="12:19" s="4" customFormat="1" x14ac:dyDescent="0.25">
      <c r="L171"/>
      <c r="M171"/>
      <c r="N171"/>
      <c r="O171"/>
      <c r="P171"/>
      <c r="Q171"/>
      <c r="R171"/>
      <c r="S171"/>
    </row>
    <row r="173" spans="12:19" s="4" customFormat="1" x14ac:dyDescent="0.25">
      <c r="L173"/>
      <c r="M173"/>
      <c r="N173"/>
      <c r="O173"/>
      <c r="P173"/>
      <c r="Q173"/>
      <c r="R173"/>
      <c r="S173"/>
    </row>
    <row r="175" spans="12:19" s="4" customFormat="1" x14ac:dyDescent="0.25">
      <c r="L175"/>
      <c r="M175"/>
      <c r="N175"/>
      <c r="O175"/>
      <c r="P175"/>
      <c r="Q175"/>
      <c r="R175"/>
      <c r="S175"/>
    </row>
    <row r="177" spans="12:19" s="4" customFormat="1" x14ac:dyDescent="0.25">
      <c r="L177"/>
      <c r="M177"/>
      <c r="N177"/>
      <c r="O177"/>
      <c r="P177"/>
      <c r="Q177"/>
      <c r="R177"/>
      <c r="S177"/>
    </row>
    <row r="179" spans="12:19" s="4" customFormat="1" x14ac:dyDescent="0.25">
      <c r="L179"/>
      <c r="M179"/>
      <c r="N179"/>
      <c r="O179"/>
      <c r="P179"/>
      <c r="Q179"/>
      <c r="R179"/>
      <c r="S179"/>
    </row>
    <row r="181" spans="12:19" s="4" customFormat="1" x14ac:dyDescent="0.25">
      <c r="L181"/>
      <c r="M181"/>
      <c r="N181"/>
      <c r="O181"/>
      <c r="P181"/>
      <c r="Q181"/>
      <c r="R181"/>
      <c r="S181"/>
    </row>
    <row r="183" spans="12:19" s="4" customFormat="1" x14ac:dyDescent="0.25">
      <c r="L183"/>
      <c r="M183"/>
      <c r="N183"/>
      <c r="O183"/>
      <c r="P183"/>
      <c r="Q183"/>
      <c r="R183"/>
      <c r="S183"/>
    </row>
    <row r="185" spans="12:19" s="4" customFormat="1" x14ac:dyDescent="0.25">
      <c r="L185"/>
      <c r="M185"/>
      <c r="N185"/>
      <c r="O185"/>
      <c r="P185"/>
      <c r="Q185"/>
      <c r="R185"/>
      <c r="S185"/>
    </row>
    <row r="187" spans="12:19" s="4" customFormat="1" x14ac:dyDescent="0.25">
      <c r="L187"/>
      <c r="M187"/>
      <c r="N187"/>
      <c r="O187"/>
      <c r="P187"/>
      <c r="Q187"/>
      <c r="R187"/>
      <c r="S187"/>
    </row>
    <row r="189" spans="12:19" s="4" customFormat="1" x14ac:dyDescent="0.25">
      <c r="L189"/>
      <c r="M189"/>
      <c r="N189"/>
      <c r="O189"/>
      <c r="P189"/>
      <c r="Q189"/>
      <c r="R189"/>
      <c r="S189"/>
    </row>
    <row r="191" spans="12:19" s="4" customFormat="1" x14ac:dyDescent="0.25">
      <c r="L191"/>
      <c r="M191"/>
      <c r="N191"/>
      <c r="O191"/>
      <c r="P191"/>
      <c r="Q191"/>
      <c r="R191"/>
      <c r="S191"/>
    </row>
    <row r="193" spans="12:19" s="4" customFormat="1" x14ac:dyDescent="0.25">
      <c r="L193"/>
      <c r="M193"/>
      <c r="N193"/>
      <c r="O193"/>
      <c r="P193"/>
      <c r="Q193"/>
      <c r="R193"/>
      <c r="S193"/>
    </row>
    <row r="195" spans="12:19" s="4" customFormat="1" x14ac:dyDescent="0.25">
      <c r="L195"/>
      <c r="M195"/>
      <c r="N195"/>
      <c r="O195"/>
      <c r="P195"/>
      <c r="Q195"/>
      <c r="R195"/>
      <c r="S195"/>
    </row>
    <row r="197" spans="12:19" s="4" customFormat="1" x14ac:dyDescent="0.25">
      <c r="L197"/>
      <c r="M197"/>
      <c r="N197"/>
      <c r="O197"/>
      <c r="P197"/>
      <c r="Q197"/>
      <c r="R197"/>
      <c r="S197"/>
    </row>
    <row r="199" spans="12:19" s="4" customFormat="1" x14ac:dyDescent="0.25">
      <c r="L199"/>
      <c r="M199"/>
      <c r="N199"/>
      <c r="O199"/>
      <c r="P199"/>
      <c r="Q199"/>
      <c r="R199"/>
      <c r="S199"/>
    </row>
    <row r="201" spans="12:19" s="4" customFormat="1" x14ac:dyDescent="0.25">
      <c r="L201"/>
      <c r="M201"/>
      <c r="N201"/>
      <c r="O201"/>
      <c r="P201"/>
      <c r="Q201"/>
      <c r="R201"/>
      <c r="S201"/>
    </row>
    <row r="203" spans="12:19" s="4" customFormat="1" x14ac:dyDescent="0.25">
      <c r="L203"/>
      <c r="M203"/>
      <c r="N203"/>
      <c r="O203"/>
      <c r="P203"/>
      <c r="Q203"/>
      <c r="R203"/>
      <c r="S203"/>
    </row>
    <row r="205" spans="12:19" s="4" customFormat="1" x14ac:dyDescent="0.25">
      <c r="L205"/>
      <c r="M205"/>
      <c r="N205"/>
      <c r="O205"/>
      <c r="P205"/>
      <c r="Q205"/>
      <c r="R205"/>
      <c r="S205"/>
    </row>
    <row r="207" spans="12:19" s="4" customFormat="1" x14ac:dyDescent="0.25">
      <c r="L207"/>
      <c r="M207"/>
      <c r="N207"/>
      <c r="O207"/>
      <c r="P207"/>
      <c r="Q207"/>
      <c r="R207"/>
      <c r="S207"/>
    </row>
    <row r="209" spans="12:19" s="4" customFormat="1" x14ac:dyDescent="0.25">
      <c r="L209"/>
      <c r="M209"/>
      <c r="N209"/>
      <c r="O209"/>
      <c r="P209"/>
      <c r="Q209"/>
      <c r="R209"/>
      <c r="S209"/>
    </row>
    <row r="211" spans="12:19" s="4" customFormat="1" x14ac:dyDescent="0.25">
      <c r="L211"/>
      <c r="M211"/>
      <c r="N211"/>
      <c r="O211"/>
      <c r="P211"/>
      <c r="Q211"/>
      <c r="R211"/>
      <c r="S211"/>
    </row>
    <row r="213" spans="12:19" s="4" customFormat="1" x14ac:dyDescent="0.25">
      <c r="L213"/>
      <c r="M213"/>
      <c r="N213"/>
      <c r="O213"/>
      <c r="P213"/>
      <c r="Q213"/>
      <c r="R213"/>
      <c r="S213"/>
    </row>
    <row r="215" spans="12:19" s="4" customFormat="1" x14ac:dyDescent="0.25">
      <c r="L215"/>
      <c r="M215"/>
      <c r="N215"/>
      <c r="O215"/>
      <c r="P215"/>
      <c r="Q215"/>
      <c r="R215"/>
      <c r="S215"/>
    </row>
    <row r="217" spans="12:19" s="4" customFormat="1" x14ac:dyDescent="0.25">
      <c r="L217"/>
      <c r="M217"/>
      <c r="N217"/>
      <c r="O217"/>
      <c r="P217"/>
      <c r="Q217"/>
      <c r="R217"/>
      <c r="S217"/>
    </row>
    <row r="219" spans="12:19" s="4" customFormat="1" x14ac:dyDescent="0.25">
      <c r="L219"/>
      <c r="M219"/>
      <c r="N219"/>
      <c r="O219"/>
      <c r="P219"/>
      <c r="Q219"/>
      <c r="R219"/>
      <c r="S219"/>
    </row>
    <row r="221" spans="12:19" s="4" customFormat="1" x14ac:dyDescent="0.25">
      <c r="L221"/>
      <c r="M221"/>
      <c r="N221"/>
      <c r="O221"/>
      <c r="P221"/>
      <c r="Q221"/>
      <c r="R221"/>
      <c r="S221"/>
    </row>
    <row r="223" spans="12:19" s="4" customFormat="1" x14ac:dyDescent="0.25">
      <c r="L223"/>
      <c r="M223"/>
      <c r="N223"/>
      <c r="O223"/>
      <c r="P223"/>
      <c r="Q223"/>
      <c r="R223"/>
      <c r="S223"/>
    </row>
    <row r="225" spans="12:19" s="4" customFormat="1" x14ac:dyDescent="0.25">
      <c r="L225"/>
      <c r="M225"/>
      <c r="N225"/>
      <c r="O225"/>
      <c r="P225"/>
      <c r="Q225"/>
      <c r="R225"/>
      <c r="S225"/>
    </row>
    <row r="227" spans="12:19" s="4" customFormat="1" x14ac:dyDescent="0.25">
      <c r="L227"/>
      <c r="M227"/>
      <c r="N227"/>
      <c r="O227"/>
      <c r="P227"/>
      <c r="Q227"/>
      <c r="R227"/>
      <c r="S227"/>
    </row>
    <row r="229" spans="12:19" s="4" customFormat="1" x14ac:dyDescent="0.25">
      <c r="L229"/>
      <c r="M229"/>
      <c r="N229"/>
      <c r="O229"/>
      <c r="P229"/>
      <c r="Q229"/>
      <c r="R229"/>
      <c r="S229"/>
    </row>
    <row r="231" spans="12:19" s="4" customFormat="1" x14ac:dyDescent="0.25">
      <c r="L231"/>
      <c r="M231"/>
      <c r="N231"/>
      <c r="O231"/>
      <c r="P231"/>
      <c r="Q231"/>
      <c r="R231"/>
      <c r="S231"/>
    </row>
    <row r="233" spans="12:19" s="4" customFormat="1" x14ac:dyDescent="0.25">
      <c r="L233"/>
      <c r="M233"/>
      <c r="N233"/>
      <c r="O233"/>
      <c r="P233"/>
      <c r="Q233"/>
      <c r="R233"/>
      <c r="S233"/>
    </row>
    <row r="235" spans="12:19" s="4" customFormat="1" x14ac:dyDescent="0.25">
      <c r="L235"/>
      <c r="M235"/>
      <c r="N235"/>
      <c r="O235"/>
      <c r="P235"/>
      <c r="Q235"/>
      <c r="R235"/>
      <c r="S235"/>
    </row>
    <row r="237" spans="12:19" s="4" customFormat="1" x14ac:dyDescent="0.25">
      <c r="L237"/>
      <c r="M237"/>
      <c r="N237"/>
      <c r="O237"/>
      <c r="P237"/>
      <c r="Q237"/>
      <c r="R237"/>
      <c r="S237"/>
    </row>
    <row r="239" spans="12:19" s="4" customFormat="1" x14ac:dyDescent="0.25">
      <c r="L239"/>
      <c r="M239"/>
      <c r="N239"/>
      <c r="O239"/>
      <c r="P239"/>
      <c r="Q239"/>
      <c r="R239"/>
      <c r="S239"/>
    </row>
    <row r="241" spans="12:19" s="4" customFormat="1" x14ac:dyDescent="0.25">
      <c r="L241"/>
      <c r="M241"/>
      <c r="N241"/>
      <c r="O241"/>
      <c r="P241"/>
      <c r="Q241"/>
      <c r="R241"/>
      <c r="S241"/>
    </row>
    <row r="243" spans="12:19" s="4" customFormat="1" x14ac:dyDescent="0.25">
      <c r="L243"/>
      <c r="M243"/>
      <c r="N243"/>
      <c r="O243"/>
      <c r="P243"/>
      <c r="Q243"/>
      <c r="R243"/>
      <c r="S243"/>
    </row>
    <row r="245" spans="12:19" s="4" customFormat="1" x14ac:dyDescent="0.25">
      <c r="L245"/>
      <c r="M245"/>
      <c r="N245"/>
      <c r="O245"/>
      <c r="P245"/>
      <c r="Q245"/>
      <c r="R245"/>
      <c r="S245"/>
    </row>
    <row r="247" spans="12:19" s="4" customFormat="1" x14ac:dyDescent="0.25">
      <c r="L247"/>
      <c r="M247"/>
      <c r="N247"/>
      <c r="O247"/>
      <c r="P247"/>
      <c r="Q247"/>
      <c r="R247"/>
      <c r="S247"/>
    </row>
    <row r="249" spans="12:19" s="4" customFormat="1" x14ac:dyDescent="0.25">
      <c r="L249"/>
      <c r="M249"/>
      <c r="N249"/>
      <c r="O249"/>
      <c r="P249"/>
      <c r="Q249"/>
      <c r="R249"/>
      <c r="S249"/>
    </row>
  </sheetData>
  <mergeCells count="1">
    <mergeCell ref="B4:H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3</vt:i4>
      </vt:variant>
    </vt:vector>
  </HeadingPairs>
  <TitlesOfParts>
    <vt:vector size="3" baseType="lpstr">
      <vt:lpstr>RESULTS_June2025</vt:lpstr>
      <vt:lpstr>EXAM points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Charlotte Leyser</dc:creator>
  <cp:keywords/>
  <dc:description/>
  <cp:lastModifiedBy>Erik Öberg</cp:lastModifiedBy>
  <cp:revision/>
  <dcterms:created xsi:type="dcterms:W3CDTF">2019-04-15T07:00:25Z</dcterms:created>
  <dcterms:modified xsi:type="dcterms:W3CDTF">2025-06-09T08:17:13Z</dcterms:modified>
  <cp:category/>
  <cp:contentStatus/>
</cp:coreProperties>
</file>